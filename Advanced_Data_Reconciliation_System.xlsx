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Master" sheetId="1" state="visible" r:id="rId3"/>
    <sheet name="Orders_Raw" sheetId="2" state="visible" r:id="rId4"/>
    <sheet name="Cleaned_Orders" sheetId="3" state="visible" r:id="rId5"/>
    <sheet name="Dashboard" sheetId="4" state="visible" r:id="rId6"/>
    <sheet name="Entry_Log" sheetId="5" state="visible" r:id="rId7"/>
    <sheet name="READM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<sst xmlns="http://schemas.openxmlformats.org/spreadsheetml/2006/main" count="4605" uniqueCount="2329">
  <si>
    <t xml:space="preserve">Customer Master List (clean reference table)</t>
  </si>
  <si>
    <t xml:space="preserve">Authoritative source used to reconcile messy order entries</t>
  </si>
  <si>
    <t xml:space="preserve">CustomerID</t>
  </si>
  <si>
    <t xml:space="preserve">CustomerName</t>
  </si>
  <si>
    <t xml:space="preserve">Segment</t>
  </si>
  <si>
    <t xml:space="preserve">Region</t>
  </si>
  <si>
    <t xml:space="preserve">CUST0001</t>
  </si>
  <si>
    <t xml:space="preserve">Ola Lawal</t>
  </si>
  <si>
    <t xml:space="preserve">Champions</t>
  </si>
  <si>
    <t xml:space="preserve">Ibadan</t>
  </si>
  <si>
    <t xml:space="preserve">CUST0002</t>
  </si>
  <si>
    <t xml:space="preserve">Tunde Ajayi</t>
  </si>
  <si>
    <t xml:space="preserve">Loyal</t>
  </si>
  <si>
    <t xml:space="preserve">Abuja</t>
  </si>
  <si>
    <t xml:space="preserve">CUST0003</t>
  </si>
  <si>
    <t xml:space="preserve">Chidi Adamu</t>
  </si>
  <si>
    <t xml:space="preserve">Enugu</t>
  </si>
  <si>
    <t xml:space="preserve">CUST0004</t>
  </si>
  <si>
    <t xml:space="preserve">Grace Duru</t>
  </si>
  <si>
    <t xml:space="preserve">Kano</t>
  </si>
  <si>
    <t xml:space="preserve">CUST0005</t>
  </si>
  <si>
    <t xml:space="preserve">Tunde Nnamdi</t>
  </si>
  <si>
    <t xml:space="preserve">New</t>
  </si>
  <si>
    <t xml:space="preserve">Lagos</t>
  </si>
  <si>
    <t xml:space="preserve">CUST0006</t>
  </si>
  <si>
    <t xml:space="preserve">Joy Nwosu</t>
  </si>
  <si>
    <t xml:space="preserve">CUST0007</t>
  </si>
  <si>
    <t xml:space="preserve">Tunde Okonkwo</t>
  </si>
  <si>
    <t xml:space="preserve">CUST0008</t>
  </si>
  <si>
    <t xml:space="preserve">Victor Duru</t>
  </si>
  <si>
    <t xml:space="preserve">CUST0009</t>
  </si>
  <si>
    <t xml:space="preserve">Ngozi Sani</t>
  </si>
  <si>
    <t xml:space="preserve">CUST0010</t>
  </si>
  <si>
    <t xml:space="preserve">Esther Umeh</t>
  </si>
  <si>
    <t xml:space="preserve">CUST0011</t>
  </si>
  <si>
    <t xml:space="preserve">Musa Lawal</t>
  </si>
  <si>
    <t xml:space="preserve">At Risk</t>
  </si>
  <si>
    <t xml:space="preserve">Jos</t>
  </si>
  <si>
    <t xml:space="preserve">CUST0012</t>
  </si>
  <si>
    <t xml:space="preserve">Kemi Sani</t>
  </si>
  <si>
    <t xml:space="preserve">Kaduna</t>
  </si>
  <si>
    <t xml:space="preserve">CUST0013</t>
  </si>
  <si>
    <t xml:space="preserve">Joy Lawal</t>
  </si>
  <si>
    <t xml:space="preserve">Lost / Low-Value</t>
  </si>
  <si>
    <t xml:space="preserve">CUST0014</t>
  </si>
  <si>
    <t xml:space="preserve">Joy Eze</t>
  </si>
  <si>
    <t xml:space="preserve">CUST0015</t>
  </si>
  <si>
    <t xml:space="preserve">Ahmed Nwosu</t>
  </si>
  <si>
    <t xml:space="preserve">CUST0016</t>
  </si>
  <si>
    <t xml:space="preserve">Chidi Ajayi</t>
  </si>
  <si>
    <t xml:space="preserve">CUST0017</t>
  </si>
  <si>
    <t xml:space="preserve">Ibrahim Ajayi</t>
  </si>
  <si>
    <t xml:space="preserve">CUST0018</t>
  </si>
  <si>
    <t xml:space="preserve">Fatima Okonkwo</t>
  </si>
  <si>
    <t xml:space="preserve">Port Harcourt</t>
  </si>
  <si>
    <t xml:space="preserve">CUST0019</t>
  </si>
  <si>
    <t xml:space="preserve">Ifeoma Chukwu</t>
  </si>
  <si>
    <t xml:space="preserve">CUST0020</t>
  </si>
  <si>
    <t xml:space="preserve">Mary Okafor</t>
  </si>
  <si>
    <t xml:space="preserve">CUST0021</t>
  </si>
  <si>
    <t xml:space="preserve">Joy Ajayi</t>
  </si>
  <si>
    <t xml:space="preserve">CUST0022</t>
  </si>
  <si>
    <t xml:space="preserve">Musa Sani</t>
  </si>
  <si>
    <t xml:space="preserve">CUST0023</t>
  </si>
  <si>
    <t xml:space="preserve">Chidi Umeh</t>
  </si>
  <si>
    <t xml:space="preserve">CUST0024</t>
  </si>
  <si>
    <t xml:space="preserve">Aisha Adeyemi</t>
  </si>
  <si>
    <t xml:space="preserve">CUST0025</t>
  </si>
  <si>
    <t xml:space="preserve">Fatima Okafor</t>
  </si>
  <si>
    <t xml:space="preserve">CUST0026</t>
  </si>
  <si>
    <t xml:space="preserve">Amaka Yakubu</t>
  </si>
  <si>
    <t xml:space="preserve">CUST0027</t>
  </si>
  <si>
    <t xml:space="preserve">Yusuf Sani</t>
  </si>
  <si>
    <t xml:space="preserve">CUST0028</t>
  </si>
  <si>
    <t xml:space="preserve">James Adamu</t>
  </si>
  <si>
    <t xml:space="preserve">CUST0029</t>
  </si>
  <si>
    <t xml:space="preserve">James Uche</t>
  </si>
  <si>
    <t xml:space="preserve">CUST0030</t>
  </si>
  <si>
    <t xml:space="preserve">Ifeoma Ajayi</t>
  </si>
  <si>
    <t xml:space="preserve">CUST0031</t>
  </si>
  <si>
    <t xml:space="preserve">Emeka Adeyemi</t>
  </si>
  <si>
    <t xml:space="preserve">CUST0032</t>
  </si>
  <si>
    <t xml:space="preserve">Ola Obi</t>
  </si>
  <si>
    <t xml:space="preserve">CUST0033</t>
  </si>
  <si>
    <t xml:space="preserve">Musa Abubakar</t>
  </si>
  <si>
    <t xml:space="preserve">CUST0034</t>
  </si>
  <si>
    <t xml:space="preserve">Samuel Sani</t>
  </si>
  <si>
    <t xml:space="preserve">CUST0035</t>
  </si>
  <si>
    <t xml:space="preserve">Chidi Lawal</t>
  </si>
  <si>
    <t xml:space="preserve">CUST0036</t>
  </si>
  <si>
    <t xml:space="preserve">CUST0037</t>
  </si>
  <si>
    <t xml:space="preserve">Blessing Obi</t>
  </si>
  <si>
    <t xml:space="preserve">CUST0038</t>
  </si>
  <si>
    <t xml:space="preserve">James Sani</t>
  </si>
  <si>
    <t xml:space="preserve">CUST0039</t>
  </si>
  <si>
    <t xml:space="preserve">Samuel Lawal</t>
  </si>
  <si>
    <t xml:space="preserve">CUST0040</t>
  </si>
  <si>
    <t xml:space="preserve">Yusuf Chukwu</t>
  </si>
  <si>
    <t xml:space="preserve">CUST0041</t>
  </si>
  <si>
    <t xml:space="preserve">Kemi Umeh</t>
  </si>
  <si>
    <t xml:space="preserve">CUST0042</t>
  </si>
  <si>
    <t xml:space="preserve">Bisi Chukwu</t>
  </si>
  <si>
    <t xml:space="preserve">CUST0043</t>
  </si>
  <si>
    <t xml:space="preserve">Grace Ajayi</t>
  </si>
  <si>
    <t xml:space="preserve">CUST0044</t>
  </si>
  <si>
    <t xml:space="preserve">Emeka Yakubu</t>
  </si>
  <si>
    <t xml:space="preserve">CUST0045</t>
  </si>
  <si>
    <t xml:space="preserve">Yusuf Yakubu</t>
  </si>
  <si>
    <t xml:space="preserve">CUST0046</t>
  </si>
  <si>
    <t xml:space="preserve">Fatima Nnamdi</t>
  </si>
  <si>
    <t xml:space="preserve">CUST0047</t>
  </si>
  <si>
    <t xml:space="preserve">Amaka Adamu</t>
  </si>
  <si>
    <t xml:space="preserve">CUST0048</t>
  </si>
  <si>
    <t xml:space="preserve">Musa Chukwu</t>
  </si>
  <si>
    <t xml:space="preserve">CUST0049</t>
  </si>
  <si>
    <t xml:space="preserve">Bisi Ajayi</t>
  </si>
  <si>
    <t xml:space="preserve">CUST0050</t>
  </si>
  <si>
    <t xml:space="preserve">Ngozi Duru</t>
  </si>
  <si>
    <t xml:space="preserve">CUST0051</t>
  </si>
  <si>
    <t xml:space="preserve">Ahmed Ajayi</t>
  </si>
  <si>
    <t xml:space="preserve">CUST0052</t>
  </si>
  <si>
    <t xml:space="preserve">Mary Adeyemi</t>
  </si>
  <si>
    <t xml:space="preserve">CUST0053</t>
  </si>
  <si>
    <t xml:space="preserve">Comfort Adeyemi</t>
  </si>
  <si>
    <t xml:space="preserve">CUST0054</t>
  </si>
  <si>
    <t xml:space="preserve">Samuel Ajayi</t>
  </si>
  <si>
    <t xml:space="preserve">CUST0055</t>
  </si>
  <si>
    <t xml:space="preserve">CUST0056</t>
  </si>
  <si>
    <t xml:space="preserve">Tunde Yakubu</t>
  </si>
  <si>
    <t xml:space="preserve">CUST0057</t>
  </si>
  <si>
    <t xml:space="preserve">Bisi Lawal</t>
  </si>
  <si>
    <t xml:space="preserve">CUST0058</t>
  </si>
  <si>
    <t xml:space="preserve">Blessing Balogun</t>
  </si>
  <si>
    <t xml:space="preserve">CUST0059</t>
  </si>
  <si>
    <t xml:space="preserve">CUST0060</t>
  </si>
  <si>
    <t xml:space="preserve">James Umeh</t>
  </si>
  <si>
    <t xml:space="preserve">Raw Order Entries (as received — unedited)</t>
  </si>
  <si>
    <t xml:space="preserve">535 order records with realistic entry errors: inconsistent casing/spacing, mixed date and currency formats, typo'd customer IDs, missing/invalid quantities, duplicate re-entries</t>
  </si>
  <si>
    <t xml:space="preserve">OrderID</t>
  </si>
  <si>
    <t xml:space="preserve">OrderDate</t>
  </si>
  <si>
    <t xml:space="preserve">Product</t>
  </si>
  <si>
    <t xml:space="preserve">Quantity</t>
  </si>
  <si>
    <t xml:space="preserve">Amount</t>
  </si>
  <si>
    <t xml:space="preserve">EntryTimestamp</t>
  </si>
  <si>
    <t xml:space="preserve">ORD00385</t>
  </si>
  <si>
    <t xml:space="preserve">BISI AJAYI</t>
  </si>
  <si>
    <t xml:space="preserve">04-May-2026</t>
  </si>
  <si>
    <t xml:space="preserve">Tablet</t>
  </si>
  <si>
    <t xml:space="preserve">3</t>
  </si>
  <si>
    <t xml:space="preserve">NGN 1,557.36</t>
  </si>
  <si>
    <t xml:space="preserve">2026-05-04 12:25</t>
  </si>
  <si>
    <t xml:space="preserve">ORD00402</t>
  </si>
  <si>
    <t xml:space="preserve">ola lawal</t>
  </si>
  <si>
    <t xml:space="preserve">30-Mar-2026</t>
  </si>
  <si>
    <t xml:space="preserve">Printer</t>
  </si>
  <si>
    <t xml:space="preserve">4</t>
  </si>
  <si>
    <t xml:space="preserve">$1,180.96</t>
  </si>
  <si>
    <t xml:space="preserve">2026-03-30 12:00</t>
  </si>
  <si>
    <t xml:space="preserve">ORD00281</t>
  </si>
  <si>
    <t xml:space="preserve">08-Mar-2026</t>
  </si>
  <si>
    <t xml:space="preserve">Keyboard</t>
  </si>
  <si>
    <t xml:space="preserve">1</t>
  </si>
  <si>
    <t xml:space="preserve">$2,278.35</t>
  </si>
  <si>
    <t xml:space="preserve">2026-03-08 12:33</t>
  </si>
  <si>
    <t xml:space="preserve">ORD00145</t>
  </si>
  <si>
    <t xml:space="preserve">2026-05-24</t>
  </si>
  <si>
    <t xml:space="preserve">915.87</t>
  </si>
  <si>
    <t xml:space="preserve">2026-05-24 12:52</t>
  </si>
  <si>
    <t xml:space="preserve">ORD00279</t>
  </si>
  <si>
    <t xml:space="preserve">james umeh</t>
  </si>
  <si>
    <t xml:space="preserve">02-May-2026</t>
  </si>
  <si>
    <t xml:space="preserve">Speaker</t>
  </si>
  <si>
    <t xml:space="preserve">$211.20</t>
  </si>
  <si>
    <t xml:space="preserve">2026-05-02 18:39</t>
  </si>
  <si>
    <t xml:space="preserve">ORD00376</t>
  </si>
  <si>
    <t xml:space="preserve">2026-03-15</t>
  </si>
  <si>
    <t xml:space="preserve">Headphones</t>
  </si>
  <si>
    <t xml:space="preserve">$ 98.52</t>
  </si>
  <si>
    <t xml:space="preserve">2026-03-15 18:02</t>
  </si>
  <si>
    <t xml:space="preserve">ORD00207</t>
  </si>
  <si>
    <t xml:space="preserve">  Chidi Ajayi   </t>
  </si>
  <si>
    <t xml:space="preserve">2026-02-12</t>
  </si>
  <si>
    <t xml:space="preserve">Phone</t>
  </si>
  <si>
    <t xml:space="preserve">5</t>
  </si>
  <si>
    <t xml:space="preserve">NGN 125.08</t>
  </si>
  <si>
    <t xml:space="preserve">2026-02-12 08:06</t>
  </si>
  <si>
    <t xml:space="preserve">ORD00196</t>
  </si>
  <si>
    <t xml:space="preserve">  Joy Nwosu   </t>
  </si>
  <si>
    <t xml:space="preserve">05/03/2026</t>
  </si>
  <si>
    <t xml:space="preserve">Monitor</t>
  </si>
  <si>
    <t xml:space="preserve">2</t>
  </si>
  <si>
    <t xml:space="preserve">218.86</t>
  </si>
  <si>
    <t xml:space="preserve">2026-03-05 13:23</t>
  </si>
  <si>
    <t xml:space="preserve">ORD00153</t>
  </si>
  <si>
    <t xml:space="preserve">17-May-2026</t>
  </si>
  <si>
    <t xml:space="preserve">Mouse</t>
  </si>
  <si>
    <t xml:space="preserve">1,372.49</t>
  </si>
  <si>
    <t xml:space="preserve">2026-05-17 16:19</t>
  </si>
  <si>
    <t xml:space="preserve">ORD00132</t>
  </si>
  <si>
    <t xml:space="preserve">mary okafor</t>
  </si>
  <si>
    <t xml:space="preserve">2026-04-03</t>
  </si>
  <si>
    <t xml:space="preserve">Laptop</t>
  </si>
  <si>
    <t xml:space="preserve">572.24</t>
  </si>
  <si>
    <t xml:space="preserve">2026-04-03 13:35</t>
  </si>
  <si>
    <t xml:space="preserve">ORD00024</t>
  </si>
  <si>
    <t xml:space="preserve">07/05/2026</t>
  </si>
  <si>
    <t xml:space="preserve">$621.30</t>
  </si>
  <si>
    <t xml:space="preserve">2026-05-07 11:11</t>
  </si>
  <si>
    <t xml:space="preserve">ORD00503</t>
  </si>
  <si>
    <t xml:space="preserve">2026-03-09</t>
  </si>
  <si>
    <t xml:space="preserve">NGN 1,333.15</t>
  </si>
  <si>
    <t xml:space="preserve">2026-03-09 18:20</t>
  </si>
  <si>
    <t xml:space="preserve">ORD00253</t>
  </si>
  <si>
    <t xml:space="preserve">  Ngozi Duru   </t>
  </si>
  <si>
    <t xml:space="preserve">29-Apr-2026</t>
  </si>
  <si>
    <t xml:space="preserve">$2,133.42</t>
  </si>
  <si>
    <t xml:space="preserve">2026-04-29 08:13</t>
  </si>
  <si>
    <t xml:space="preserve">ORD00156</t>
  </si>
  <si>
    <t xml:space="preserve">2026-02-24</t>
  </si>
  <si>
    <t xml:space="preserve">2,072.46</t>
  </si>
  <si>
    <t xml:space="preserve">2026-02-24 17:15</t>
  </si>
  <si>
    <t xml:space="preserve">ORD00072</t>
  </si>
  <si>
    <t xml:space="preserve">mary adeyemi</t>
  </si>
  <si>
    <t xml:space="preserve">08-Jun-2026</t>
  </si>
  <si>
    <t xml:space="preserve">1699.24</t>
  </si>
  <si>
    <t xml:space="preserve">2026-06-08 12:50</t>
  </si>
  <si>
    <t xml:space="preserve">ORD00486</t>
  </si>
  <si>
    <t xml:space="preserve">OLA OBI</t>
  </si>
  <si>
    <t xml:space="preserve">2026-01-24</t>
  </si>
  <si>
    <t xml:space="preserve">-5</t>
  </si>
  <si>
    <t xml:space="preserve">$ 2,045.33</t>
  </si>
  <si>
    <t xml:space="preserve">2026-01-24 18:09</t>
  </si>
  <si>
    <t xml:space="preserve">ORD00016</t>
  </si>
  <si>
    <t xml:space="preserve">  Grace Ajayi   </t>
  </si>
  <si>
    <t xml:space="preserve">13/03/2026</t>
  </si>
  <si>
    <t xml:space="preserve">2,417.72</t>
  </si>
  <si>
    <t xml:space="preserve">2026-03-13 13:01</t>
  </si>
  <si>
    <t xml:space="preserve">ORD00374</t>
  </si>
  <si>
    <t xml:space="preserve">GRACE DURU</t>
  </si>
  <si>
    <t xml:space="preserve">$ 1,187.10</t>
  </si>
  <si>
    <t xml:space="preserve">2026-01-24 09:38</t>
  </si>
  <si>
    <t xml:space="preserve">ORD00263</t>
  </si>
  <si>
    <t xml:space="preserve">01/06/2026</t>
  </si>
  <si>
    <t xml:space="preserve">Charger</t>
  </si>
  <si>
    <t xml:space="preserve">1,763.08</t>
  </si>
  <si>
    <t xml:space="preserve">2026-06-01 15:34</t>
  </si>
  <si>
    <t xml:space="preserve">ORD00397</t>
  </si>
  <si>
    <t xml:space="preserve">IBRAHIM AJAYI</t>
  </si>
  <si>
    <t xml:space="preserve">2026-02-23</t>
  </si>
  <si>
    <t xml:space="preserve">$1,001.66</t>
  </si>
  <si>
    <t xml:space="preserve">2026-02-23 08:49</t>
  </si>
  <si>
    <t xml:space="preserve">ORD00140</t>
  </si>
  <si>
    <t xml:space="preserve">  Emeka Adeyemi   </t>
  </si>
  <si>
    <t xml:space="preserve">2026-06-05</t>
  </si>
  <si>
    <t xml:space="preserve">791.77</t>
  </si>
  <si>
    <t xml:space="preserve">2026-06-05 10:48</t>
  </si>
  <si>
    <t xml:space="preserve">ORD00282</t>
  </si>
  <si>
    <t xml:space="preserve">IFEOMA AJAYI</t>
  </si>
  <si>
    <t xml:space="preserve">2026-06-29</t>
  </si>
  <si>
    <t xml:space="preserve">NGN 1,475.13</t>
  </si>
  <si>
    <t xml:space="preserve">2026-06-29 17:48</t>
  </si>
  <si>
    <t xml:space="preserve">ORD00180</t>
  </si>
  <si>
    <t xml:space="preserve">chidi lawal</t>
  </si>
  <si>
    <t xml:space="preserve">14-Jan-2026</t>
  </si>
  <si>
    <t xml:space="preserve">$ 952.26</t>
  </si>
  <si>
    <t xml:space="preserve">2026-01-14 18:35</t>
  </si>
  <si>
    <t xml:space="preserve">ORD00248</t>
  </si>
  <si>
    <t xml:space="preserve">AHMED AJAYI</t>
  </si>
  <si>
    <t xml:space="preserve">15/04/2026</t>
  </si>
  <si>
    <t xml:space="preserve">594.00</t>
  </si>
  <si>
    <t xml:space="preserve">2026-04-15 08:48</t>
  </si>
  <si>
    <t xml:space="preserve">ORD00358</t>
  </si>
  <si>
    <t xml:space="preserve">03/04/2026</t>
  </si>
  <si>
    <t xml:space="preserve">NGN 1,182.14</t>
  </si>
  <si>
    <t xml:space="preserve">2026-04-03 16:40</t>
  </si>
  <si>
    <t xml:space="preserve">ORD00110</t>
  </si>
  <si>
    <t xml:space="preserve">ngozi duru</t>
  </si>
  <si>
    <t xml:space="preserve">2026-02-05</t>
  </si>
  <si>
    <t xml:space="preserve">$206.76</t>
  </si>
  <si>
    <t xml:space="preserve">2026-02-05 08:42</t>
  </si>
  <si>
    <t xml:space="preserve">ORD00158</t>
  </si>
  <si>
    <t xml:space="preserve">2026-05-03</t>
  </si>
  <si>
    <t xml:space="preserve">1,893.44</t>
  </si>
  <si>
    <t xml:space="preserve">2026-05-03 18:36</t>
  </si>
  <si>
    <t xml:space="preserve">ORD00273</t>
  </si>
  <si>
    <t xml:space="preserve">YUSUF CHUKWU</t>
  </si>
  <si>
    <t xml:space="preserve">2026-04-21</t>
  </si>
  <si>
    <t xml:space="preserve">NGN 1,524.18</t>
  </si>
  <si>
    <t xml:space="preserve">2026-04-21 14:44</t>
  </si>
  <si>
    <t xml:space="preserve">ORD00065</t>
  </si>
  <si>
    <t xml:space="preserve">  Amaka Yakubu   </t>
  </si>
  <si>
    <t xml:space="preserve">2026-06-22</t>
  </si>
  <si>
    <t xml:space="preserve">959.32</t>
  </si>
  <si>
    <t xml:space="preserve">2026-06-22 08:39</t>
  </si>
  <si>
    <t xml:space="preserve">ORD00240</t>
  </si>
  <si>
    <t xml:space="preserve">JOY NWOSU</t>
  </si>
  <si>
    <t xml:space="preserve">2026-04-27</t>
  </si>
  <si>
    <t xml:space="preserve">1,527.95</t>
  </si>
  <si>
    <t xml:space="preserve">2026-04-27 08:45</t>
  </si>
  <si>
    <t xml:space="preserve">ORD00064</t>
  </si>
  <si>
    <t xml:space="preserve">SAMUEL SANI</t>
  </si>
  <si>
    <t xml:space="preserve">2026-07-04</t>
  </si>
  <si>
    <t xml:space="preserve">1033.80</t>
  </si>
  <si>
    <t xml:space="preserve">2026-07-04 17:44</t>
  </si>
  <si>
    <t xml:space="preserve">ORD00308</t>
  </si>
  <si>
    <t xml:space="preserve">cust0043</t>
  </si>
  <si>
    <t xml:space="preserve">$1,055.78</t>
  </si>
  <si>
    <t xml:space="preserve">2026-06-05 09:31</t>
  </si>
  <si>
    <t xml:space="preserve">ORD00098</t>
  </si>
  <si>
    <t xml:space="preserve">05/01/2026</t>
  </si>
  <si>
    <t xml:space="preserve">2,304.09</t>
  </si>
  <si>
    <t xml:space="preserve">2026-01-05 12:07</t>
  </si>
  <si>
    <t xml:space="preserve">ORD00375</t>
  </si>
  <si>
    <t xml:space="preserve">2026-06-07</t>
  </si>
  <si>
    <t xml:space="preserve">$ 726.88</t>
  </si>
  <si>
    <t xml:space="preserve">2026-06-07 15:00</t>
  </si>
  <si>
    <t xml:space="preserve">ORD00005</t>
  </si>
  <si>
    <t xml:space="preserve">02/06/2026</t>
  </si>
  <si>
    <t xml:space="preserve">1692.90</t>
  </si>
  <si>
    <t xml:space="preserve">2026-06-02 17:38</t>
  </si>
  <si>
    <t xml:space="preserve">ORD00022</t>
  </si>
  <si>
    <t xml:space="preserve">musa abubakar</t>
  </si>
  <si>
    <t xml:space="preserve">18/06/2026</t>
  </si>
  <si>
    <t xml:space="preserve">$ 720.21</t>
  </si>
  <si>
    <t xml:space="preserve">2026-06-18 18:19</t>
  </si>
  <si>
    <t xml:space="preserve">ORD00185</t>
  </si>
  <si>
    <t xml:space="preserve">2026-04-28</t>
  </si>
  <si>
    <t xml:space="preserve">1,835.94</t>
  </si>
  <si>
    <t xml:space="preserve">2026-04-28 16:41</t>
  </si>
  <si>
    <t xml:space="preserve">ORD00387</t>
  </si>
  <si>
    <t xml:space="preserve">  Yusuf Yakubu   </t>
  </si>
  <si>
    <t xml:space="preserve">26/06/2026</t>
  </si>
  <si>
    <t xml:space="preserve">44.37</t>
  </si>
  <si>
    <t xml:space="preserve">2026-06-26 12:11</t>
  </si>
  <si>
    <t xml:space="preserve">ORD00382</t>
  </si>
  <si>
    <t xml:space="preserve">CHIDI UMEH</t>
  </si>
  <si>
    <t xml:space="preserve">29-Jun-2026</t>
  </si>
  <si>
    <t xml:space="preserve">$631.92</t>
  </si>
  <si>
    <t xml:space="preserve">2026-06-29 16:59</t>
  </si>
  <si>
    <t xml:space="preserve">ORD00131</t>
  </si>
  <si>
    <t xml:space="preserve">14/02/2026</t>
  </si>
  <si>
    <t xml:space="preserve">2,493.20</t>
  </si>
  <si>
    <t xml:space="preserve">2026-02-14 12:57</t>
  </si>
  <si>
    <t xml:space="preserve">ORD00010</t>
  </si>
  <si>
    <t xml:space="preserve">  Ifeoma Chukwu   </t>
  </si>
  <si>
    <t xml:space="preserve">22-Feb-2026</t>
  </si>
  <si>
    <t xml:space="preserve">1,270.94</t>
  </si>
  <si>
    <t xml:space="preserve">2026-02-22 08:00</t>
  </si>
  <si>
    <t xml:space="preserve">ORD00271</t>
  </si>
  <si>
    <t xml:space="preserve">07/04/2026</t>
  </si>
  <si>
    <t xml:space="preserve">$ 2,074.59</t>
  </si>
  <si>
    <t xml:space="preserve">2026-04-07 09:51</t>
  </si>
  <si>
    <t xml:space="preserve">ORD00365</t>
  </si>
  <si>
    <t xml:space="preserve">samuel ajayi</t>
  </si>
  <si>
    <t xml:space="preserve">2026-05-30</t>
  </si>
  <si>
    <t xml:space="preserve">$ 1,563.68</t>
  </si>
  <si>
    <t xml:space="preserve">2026-05-30 17:37</t>
  </si>
  <si>
    <t xml:space="preserve">ORD00360</t>
  </si>
  <si>
    <t xml:space="preserve">fatima okafor</t>
  </si>
  <si>
    <t xml:space="preserve">13/05/2026</t>
  </si>
  <si>
    <t xml:space="preserve">891.95</t>
  </si>
  <si>
    <t xml:space="preserve">2026-05-13 16:56</t>
  </si>
  <si>
    <t xml:space="preserve">ORD00151</t>
  </si>
  <si>
    <t xml:space="preserve">COMFORT ADEYEMI</t>
  </si>
  <si>
    <t xml:space="preserve">27/05/2026</t>
  </si>
  <si>
    <t xml:space="preserve">NGN 489.10</t>
  </si>
  <si>
    <t xml:space="preserve">2026-05-27 14:32</t>
  </si>
  <si>
    <t xml:space="preserve">ORD00448</t>
  </si>
  <si>
    <t xml:space="preserve">JOY LAWAL</t>
  </si>
  <si>
    <t xml:space="preserve">2026-07-15</t>
  </si>
  <si>
    <t xml:space="preserve">$ 1,548.11</t>
  </si>
  <si>
    <t xml:space="preserve">2026-07-15 18:01</t>
  </si>
  <si>
    <t xml:space="preserve">ORD00261</t>
  </si>
  <si>
    <t xml:space="preserve">tunde ajayi</t>
  </si>
  <si>
    <t xml:space="preserve">08-Jan-2026</t>
  </si>
  <si>
    <t xml:space="preserve">NGN 160.60</t>
  </si>
  <si>
    <t xml:space="preserve">2026-01-08 10:06</t>
  </si>
  <si>
    <t xml:space="preserve">ORD00234</t>
  </si>
  <si>
    <t xml:space="preserve">TUNDE YAKUBU</t>
  </si>
  <si>
    <t xml:space="preserve">05/02/2026</t>
  </si>
  <si>
    <t xml:space="preserve">NGN 1,480.09</t>
  </si>
  <si>
    <t xml:space="preserve">2026-02-05 11:17</t>
  </si>
  <si>
    <t xml:space="preserve">ORD00318</t>
  </si>
  <si>
    <t xml:space="preserve">emeka adeyemi</t>
  </si>
  <si>
    <t xml:space="preserve">20/01/2026</t>
  </si>
  <si>
    <t xml:space="preserve">811.78</t>
  </si>
  <si>
    <t xml:space="preserve">2026-01-20 14:52</t>
  </si>
  <si>
    <t xml:space="preserve">ORD00109</t>
  </si>
  <si>
    <t xml:space="preserve">bisi chukwu</t>
  </si>
  <si>
    <t xml:space="preserve">2026-06-21</t>
  </si>
  <si>
    <t xml:space="preserve">NGN 247.23</t>
  </si>
  <si>
    <t xml:space="preserve">2026-06-21 11:21</t>
  </si>
  <si>
    <t xml:space="preserve">ORD00120</t>
  </si>
  <si>
    <t xml:space="preserve">2026-05-10</t>
  </si>
  <si>
    <t xml:space="preserve">NGN 1,392.07</t>
  </si>
  <si>
    <t xml:space="preserve">2026-05-10 12:47</t>
  </si>
  <si>
    <t xml:space="preserve">ORD00163</t>
  </si>
  <si>
    <t xml:space="preserve">2026-03-24</t>
  </si>
  <si>
    <t xml:space="preserve">NGN 31.97</t>
  </si>
  <si>
    <t xml:space="preserve">2026-03-24 12:37</t>
  </si>
  <si>
    <t xml:space="preserve">ORD00330</t>
  </si>
  <si>
    <t xml:space="preserve">AMAKA ADAMU</t>
  </si>
  <si>
    <t xml:space="preserve">14/05/2026</t>
  </si>
  <si>
    <t xml:space="preserve">77.80</t>
  </si>
  <si>
    <t xml:space="preserve">2026-05-14 12:43</t>
  </si>
  <si>
    <t xml:space="preserve">ORD00520</t>
  </si>
  <si>
    <t xml:space="preserve">CUSTO038</t>
  </si>
  <si>
    <t xml:space="preserve">JAMES SANI</t>
  </si>
  <si>
    <t xml:space="preserve">2026-05-08</t>
  </si>
  <si>
    <t xml:space="preserve">2000.95</t>
  </si>
  <si>
    <t xml:space="preserve">2026-05-08 13:07</t>
  </si>
  <si>
    <t xml:space="preserve">ORD00329</t>
  </si>
  <si>
    <t xml:space="preserve">YUSUF YAKUBU</t>
  </si>
  <si>
    <t xml:space="preserve">14-Jul-2026</t>
  </si>
  <si>
    <t xml:space="preserve">$ 1,412.27</t>
  </si>
  <si>
    <t xml:space="preserve">2026-07-14 12:56</t>
  </si>
  <si>
    <t xml:space="preserve">ORD00507</t>
  </si>
  <si>
    <t xml:space="preserve">CUSTO003</t>
  </si>
  <si>
    <t xml:space="preserve">CHIDI ADAMU</t>
  </si>
  <si>
    <t xml:space="preserve">2026-06-02</t>
  </si>
  <si>
    <t xml:space="preserve">$2,376.97</t>
  </si>
  <si>
    <t xml:space="preserve">2026-06-02 10:24</t>
  </si>
  <si>
    <t xml:space="preserve">ORD00014</t>
  </si>
  <si>
    <t xml:space="preserve">2026-01-07</t>
  </si>
  <si>
    <t xml:space="preserve">1,845.36</t>
  </si>
  <si>
    <t xml:space="preserve">2026-01-07 12:10</t>
  </si>
  <si>
    <t xml:space="preserve">ORD00364</t>
  </si>
  <si>
    <t xml:space="preserve">SAMUEL LAWAL</t>
  </si>
  <si>
    <t xml:space="preserve">04-Jul-2026</t>
  </si>
  <si>
    <t xml:space="preserve">2368.93</t>
  </si>
  <si>
    <t xml:space="preserve">2026-07-04 10:14</t>
  </si>
  <si>
    <t xml:space="preserve">ORD00283</t>
  </si>
  <si>
    <t xml:space="preserve">19/07/2026</t>
  </si>
  <si>
    <t xml:space="preserve">$ 1,967.58</t>
  </si>
  <si>
    <t xml:space="preserve">2026-07-19 17:38</t>
  </si>
  <si>
    <t xml:space="preserve">ORD00056</t>
  </si>
  <si>
    <t xml:space="preserve">30/01/2026</t>
  </si>
  <si>
    <t xml:space="preserve">$2,164.30</t>
  </si>
  <si>
    <t xml:space="preserve">2026-01-30 11:33</t>
  </si>
  <si>
    <t xml:space="preserve">ORD00301</t>
  </si>
  <si>
    <t xml:space="preserve">cust0004</t>
  </si>
  <si>
    <t xml:space="preserve">grace duru</t>
  </si>
  <si>
    <t xml:space="preserve">2026-07-14</t>
  </si>
  <si>
    <t xml:space="preserve">1447.05</t>
  </si>
  <si>
    <t xml:space="preserve">2026-07-14 17:27</t>
  </si>
  <si>
    <t xml:space="preserve">ORD00126</t>
  </si>
  <si>
    <t xml:space="preserve">cust0021</t>
  </si>
  <si>
    <t xml:space="preserve">  Joy Ajayi   </t>
  </si>
  <si>
    <t xml:space="preserve">20/03/2026</t>
  </si>
  <si>
    <t xml:space="preserve">NGN 1,512.51</t>
  </si>
  <si>
    <t xml:space="preserve">2026-03-20 13:39</t>
  </si>
  <si>
    <t xml:space="preserve">ORD00201</t>
  </si>
  <si>
    <t xml:space="preserve">08-Apr-2026</t>
  </si>
  <si>
    <t xml:space="preserve">NGN 1,108.95</t>
  </si>
  <si>
    <t xml:space="preserve">2026-04-08 10:19</t>
  </si>
  <si>
    <t xml:space="preserve">ORD00350</t>
  </si>
  <si>
    <t xml:space="preserve">  James Sani   </t>
  </si>
  <si>
    <t xml:space="preserve">2026-04-02</t>
  </si>
  <si>
    <t xml:space="preserve">1683.17</t>
  </si>
  <si>
    <t xml:space="preserve">2026-04-02 13:31</t>
  </si>
  <si>
    <t xml:space="preserve">ORD00289</t>
  </si>
  <si>
    <t xml:space="preserve">KEMI UMEH</t>
  </si>
  <si>
    <t xml:space="preserve">03-Mar-2026</t>
  </si>
  <si>
    <t xml:space="preserve">NGN 1,229.64</t>
  </si>
  <si>
    <t xml:space="preserve">2026-03-03 13:22</t>
  </si>
  <si>
    <t xml:space="preserve">ORD00307</t>
  </si>
  <si>
    <t xml:space="preserve">CUSTO002</t>
  </si>
  <si>
    <t xml:space="preserve">24/04/2026</t>
  </si>
  <si>
    <t xml:space="preserve">322.13</t>
  </si>
  <si>
    <t xml:space="preserve">2026-04-24 12:26</t>
  </si>
  <si>
    <t xml:space="preserve">ORD00133</t>
  </si>
  <si>
    <t xml:space="preserve">2026-02-03</t>
  </si>
  <si>
    <t xml:space="preserve">$2,212.35</t>
  </si>
  <si>
    <t xml:space="preserve">2026-02-03 16:26</t>
  </si>
  <si>
    <t xml:space="preserve">ORD00141</t>
  </si>
  <si>
    <t xml:space="preserve">AISHA ADEYEMI</t>
  </si>
  <si>
    <t xml:space="preserve">2026-03-23</t>
  </si>
  <si>
    <t xml:space="preserve">1,174.18</t>
  </si>
  <si>
    <t xml:space="preserve">2026-03-23 14:55</t>
  </si>
  <si>
    <t xml:space="preserve">ORD00050</t>
  </si>
  <si>
    <t xml:space="preserve">cust0019</t>
  </si>
  <si>
    <t xml:space="preserve">29/06/2026</t>
  </si>
  <si>
    <t xml:space="preserve">191.88</t>
  </si>
  <si>
    <t xml:space="preserve">2026-06-29 14:07</t>
  </si>
  <si>
    <t xml:space="preserve">ORD00154</t>
  </si>
  <si>
    <t xml:space="preserve">  Ahmed Nwosu   </t>
  </si>
  <si>
    <t xml:space="preserve">17-Jul-2026</t>
  </si>
  <si>
    <t xml:space="preserve">NGN 1,766.68</t>
  </si>
  <si>
    <t xml:space="preserve">2026-07-17 12:07</t>
  </si>
  <si>
    <t xml:space="preserve">ORD00055</t>
  </si>
  <si>
    <t xml:space="preserve">YUSUF SANI</t>
  </si>
  <si>
    <t xml:space="preserve">11-Feb-2026</t>
  </si>
  <si>
    <t xml:space="preserve">NGN 1,037.94</t>
  </si>
  <si>
    <t xml:space="preserve">2026-02-11 08:29</t>
  </si>
  <si>
    <t xml:space="preserve">ORD00455</t>
  </si>
  <si>
    <t xml:space="preserve">04/02/2026</t>
  </si>
  <si>
    <t xml:space="preserve">NGN 1,042.69</t>
  </si>
  <si>
    <t xml:space="preserve">2026-02-04 15:05</t>
  </si>
  <si>
    <t xml:space="preserve">ORD00135</t>
  </si>
  <si>
    <t xml:space="preserve">james sani</t>
  </si>
  <si>
    <t xml:space="preserve">$2,278.12</t>
  </si>
  <si>
    <t xml:space="preserve">2026-04-21 10:20</t>
  </si>
  <si>
    <t xml:space="preserve">ORD00514</t>
  </si>
  <si>
    <t xml:space="preserve">MARY OKAFOR</t>
  </si>
  <si>
    <t xml:space="preserve">2026-04-04</t>
  </si>
  <si>
    <t xml:space="preserve">2,135.56</t>
  </si>
  <si>
    <t xml:space="preserve">2026-04-04 18:12</t>
  </si>
  <si>
    <t xml:space="preserve">ORD00356</t>
  </si>
  <si>
    <t xml:space="preserve">AMAKA YAKUBU</t>
  </si>
  <si>
    <t xml:space="preserve">2026-06-19</t>
  </si>
  <si>
    <t xml:space="preserve">$ 2,122.23</t>
  </si>
  <si>
    <t xml:space="preserve">2026-06-19 10:11</t>
  </si>
  <si>
    <t xml:space="preserve">ORD00498</t>
  </si>
  <si>
    <t xml:space="preserve">11/06/2026</t>
  </si>
  <si>
    <t xml:space="preserve">$ 1,451.68</t>
  </si>
  <si>
    <t xml:space="preserve">2026-06-11 08:18</t>
  </si>
  <si>
    <t xml:space="preserve">ORD00517</t>
  </si>
  <si>
    <t xml:space="preserve">858.12</t>
  </si>
  <si>
    <t xml:space="preserve">2026-01-05 18:42</t>
  </si>
  <si>
    <t xml:space="preserve">ORD00041</t>
  </si>
  <si>
    <t xml:space="preserve">2026-01-22</t>
  </si>
  <si>
    <t xml:space="preserve">NGN 1,804.39</t>
  </si>
  <si>
    <t xml:space="preserve">2026-01-22 15:50</t>
  </si>
  <si>
    <t xml:space="preserve">ORD00343</t>
  </si>
  <si>
    <t xml:space="preserve">tunde nnamdi</t>
  </si>
  <si>
    <t xml:space="preserve">07/01/2026</t>
  </si>
  <si>
    <t xml:space="preserve">$1,796.42</t>
  </si>
  <si>
    <t xml:space="preserve">2026-01-07 16:04</t>
  </si>
  <si>
    <t xml:space="preserve">ORD00479</t>
  </si>
  <si>
    <t xml:space="preserve">07-Jun-2026</t>
  </si>
  <si>
    <t xml:space="preserve">791.42</t>
  </si>
  <si>
    <t xml:space="preserve">2026-06-07 15:36</t>
  </si>
  <si>
    <t xml:space="preserve">ORD00337</t>
  </si>
  <si>
    <t xml:space="preserve">BLESSING OBI</t>
  </si>
  <si>
    <t xml:space="preserve">20-Jul-2026</t>
  </si>
  <si>
    <t xml:space="preserve">1320.61</t>
  </si>
  <si>
    <t xml:space="preserve">2026-07-20 16:34</t>
  </si>
  <si>
    <t xml:space="preserve">ORD00391</t>
  </si>
  <si>
    <t xml:space="preserve">2026-03-06</t>
  </si>
  <si>
    <t xml:space="preserve">$2,148.38</t>
  </si>
  <si>
    <t xml:space="preserve">2026-03-06 12:30</t>
  </si>
  <si>
    <t xml:space="preserve">ORD00492</t>
  </si>
  <si>
    <t xml:space="preserve">NGN 355.99</t>
  </si>
  <si>
    <t xml:space="preserve">2026-02-04 14:39</t>
  </si>
  <si>
    <t xml:space="preserve">ORD00287</t>
  </si>
  <si>
    <t xml:space="preserve">  Ola Obi   </t>
  </si>
  <si>
    <t xml:space="preserve">2026-01-15</t>
  </si>
  <si>
    <t xml:space="preserve">$1,981.85</t>
  </si>
  <si>
    <t xml:space="preserve">2026-01-15 17:01</t>
  </si>
  <si>
    <t xml:space="preserve">ORD00069</t>
  </si>
  <si>
    <t xml:space="preserve">30-Apr-2026</t>
  </si>
  <si>
    <t xml:space="preserve">1698.86</t>
  </si>
  <si>
    <t xml:space="preserve">2026-04-30 12:40</t>
  </si>
  <si>
    <t xml:space="preserve">ORD00354</t>
  </si>
  <si>
    <t xml:space="preserve">TUNDE AJAYI</t>
  </si>
  <si>
    <t xml:space="preserve">2026-05-29</t>
  </si>
  <si>
    <t xml:space="preserve">$ 1,021.76</t>
  </si>
  <si>
    <t xml:space="preserve">2026-05-29 16:30</t>
  </si>
  <si>
    <t xml:space="preserve">ORD00348</t>
  </si>
  <si>
    <t xml:space="preserve">24/02/2026</t>
  </si>
  <si>
    <t xml:space="preserve">$ 2,265.49</t>
  </si>
  <si>
    <t xml:space="preserve">2026-02-24 11:07</t>
  </si>
  <si>
    <t xml:space="preserve">ORD00026</t>
  </si>
  <si>
    <t xml:space="preserve">2026-06-06</t>
  </si>
  <si>
    <t xml:space="preserve">$ 1,075.45</t>
  </si>
  <si>
    <t xml:space="preserve">2026-06-06 15:16</t>
  </si>
  <si>
    <t xml:space="preserve">ORD00036</t>
  </si>
  <si>
    <t xml:space="preserve">2026-07-03</t>
  </si>
  <si>
    <t xml:space="preserve">203.85</t>
  </si>
  <si>
    <t xml:space="preserve">2026-07-03 09:50</t>
  </si>
  <si>
    <t xml:space="preserve">ORD00429</t>
  </si>
  <si>
    <t xml:space="preserve">2026-01-25</t>
  </si>
  <si>
    <t xml:space="preserve">$1,611.00</t>
  </si>
  <si>
    <t xml:space="preserve">2026-01-25 13:22</t>
  </si>
  <si>
    <t xml:space="preserve">ORD00328</t>
  </si>
  <si>
    <t xml:space="preserve">musa chukwu</t>
  </si>
  <si>
    <t xml:space="preserve">2026-02-21</t>
  </si>
  <si>
    <t xml:space="preserve">1,566.06</t>
  </si>
  <si>
    <t xml:space="preserve">2026-02-21 16:34</t>
  </si>
  <si>
    <t xml:space="preserve">ORD00169</t>
  </si>
  <si>
    <t xml:space="preserve">17/04/2026</t>
  </si>
  <si>
    <t xml:space="preserve">$ 1,416.32</t>
  </si>
  <si>
    <t xml:space="preserve">2026-04-17 14:16</t>
  </si>
  <si>
    <t xml:space="preserve">ORD00025</t>
  </si>
  <si>
    <t xml:space="preserve">29/04/2026</t>
  </si>
  <si>
    <t xml:space="preserve">$1,400.15</t>
  </si>
  <si>
    <t xml:space="preserve">2026-04-29 16:38</t>
  </si>
  <si>
    <t xml:space="preserve">ORD00320</t>
  </si>
  <si>
    <t xml:space="preserve">CUSTO027</t>
  </si>
  <si>
    <t xml:space="preserve">2026-06-04</t>
  </si>
  <si>
    <t xml:space="preserve">$ 1,599.28</t>
  </si>
  <si>
    <t xml:space="preserve">2026-06-04 13:52</t>
  </si>
  <si>
    <t xml:space="preserve">ORD00267</t>
  </si>
  <si>
    <t xml:space="preserve">2026-06-27</t>
  </si>
  <si>
    <t xml:space="preserve">1970.67</t>
  </si>
  <si>
    <t xml:space="preserve">2026-06-27 12:08</t>
  </si>
  <si>
    <t xml:space="preserve">ORD00359</t>
  </si>
  <si>
    <t xml:space="preserve">  Samuel Ajayi   </t>
  </si>
  <si>
    <t xml:space="preserve">NGN 1,431.85</t>
  </si>
  <si>
    <t xml:space="preserve">2026-05-29 16:16</t>
  </si>
  <si>
    <t xml:space="preserve">ORD00194</t>
  </si>
  <si>
    <t xml:space="preserve">09-May-2026</t>
  </si>
  <si>
    <t xml:space="preserve">NGN 148.44</t>
  </si>
  <si>
    <t xml:space="preserve">2026-05-09 17:25</t>
  </si>
  <si>
    <t xml:space="preserve">ORD00012</t>
  </si>
  <si>
    <t xml:space="preserve">2026-05-22</t>
  </si>
  <si>
    <t xml:space="preserve">$1,083.02</t>
  </si>
  <si>
    <t xml:space="preserve">2026-05-22 13:13</t>
  </si>
  <si>
    <t xml:space="preserve">ORD00361</t>
  </si>
  <si>
    <t xml:space="preserve">ngozi sani</t>
  </si>
  <si>
    <t xml:space="preserve">2026-01-20</t>
  </si>
  <si>
    <t xml:space="preserve">1614.04</t>
  </si>
  <si>
    <t xml:space="preserve">2026-01-20 18:14</t>
  </si>
  <si>
    <t xml:space="preserve">ORD00473</t>
  </si>
  <si>
    <t xml:space="preserve">CUSTO012</t>
  </si>
  <si>
    <t xml:space="preserve">kemi sani</t>
  </si>
  <si>
    <t xml:space="preserve">24/01/2026</t>
  </si>
  <si>
    <t xml:space="preserve">NGN 1,272.40</t>
  </si>
  <si>
    <t xml:space="preserve">2026-01-24 16:19</t>
  </si>
  <si>
    <t xml:space="preserve">ORD00231</t>
  </si>
  <si>
    <t xml:space="preserve">38.08</t>
  </si>
  <si>
    <t xml:space="preserve">2026-05-13 15:04</t>
  </si>
  <si>
    <t xml:space="preserve">ORD00080</t>
  </si>
  <si>
    <t xml:space="preserve">  Aisha Adeyemi   </t>
  </si>
  <si>
    <t xml:space="preserve">16/01/2026</t>
  </si>
  <si>
    <t xml:space="preserve">$700.57</t>
  </si>
  <si>
    <t xml:space="preserve">2026-01-16 18:40</t>
  </si>
  <si>
    <t xml:space="preserve">ORD00052</t>
  </si>
  <si>
    <t xml:space="preserve">  Victor Duru   </t>
  </si>
  <si>
    <t xml:space="preserve">$ 2,357.55</t>
  </si>
  <si>
    <t xml:space="preserve">2026-06-29 14:47</t>
  </si>
  <si>
    <t xml:space="preserve">ORD00004</t>
  </si>
  <si>
    <t xml:space="preserve">11-Jul-2026</t>
  </si>
  <si>
    <t xml:space="preserve">$ 157.06</t>
  </si>
  <si>
    <t xml:space="preserve">2026-07-11 08:32</t>
  </si>
  <si>
    <t xml:space="preserve">ORD00204</t>
  </si>
  <si>
    <t xml:space="preserve">ifeoma ajayi</t>
  </si>
  <si>
    <t xml:space="preserve">23-Apr-2026</t>
  </si>
  <si>
    <t xml:space="preserve">$2,080.74</t>
  </si>
  <si>
    <t xml:space="preserve">2026-04-23 10:40</t>
  </si>
  <si>
    <t xml:space="preserve">ORD00417</t>
  </si>
  <si>
    <t xml:space="preserve">$608.38</t>
  </si>
  <si>
    <t xml:space="preserve">2026-04-04 16:43</t>
  </si>
  <si>
    <t xml:space="preserve">ORD00505</t>
  </si>
  <si>
    <t xml:space="preserve"> CUST0052</t>
  </si>
  <si>
    <t xml:space="preserve">2026-07-17</t>
  </si>
  <si>
    <t xml:space="preserve">$ 1,839.77</t>
  </si>
  <si>
    <t xml:space="preserve">2026-07-17 13:35</t>
  </si>
  <si>
    <t xml:space="preserve">ORD00087</t>
  </si>
  <si>
    <t xml:space="preserve">16-May-2026</t>
  </si>
  <si>
    <t xml:space="preserve">$ 1,142.48</t>
  </si>
  <si>
    <t xml:space="preserve">2026-05-16 11:27</t>
  </si>
  <si>
    <t xml:space="preserve">ORD00342</t>
  </si>
  <si>
    <t xml:space="preserve">25/06/2026</t>
  </si>
  <si>
    <t xml:space="preserve">2091.63</t>
  </si>
  <si>
    <t xml:space="preserve">2026-06-25 18:52</t>
  </si>
  <si>
    <t xml:space="preserve">ORD00206</t>
  </si>
  <si>
    <t xml:space="preserve">20/05/2026</t>
  </si>
  <si>
    <t xml:space="preserve">1,979.94</t>
  </si>
  <si>
    <t xml:space="preserve">2026-05-20 09:49</t>
  </si>
  <si>
    <t xml:space="preserve">ORD00062</t>
  </si>
  <si>
    <t xml:space="preserve">2452.22</t>
  </si>
  <si>
    <t xml:space="preserve">2026-03-24 08:20</t>
  </si>
  <si>
    <t xml:space="preserve">ORD00119</t>
  </si>
  <si>
    <t xml:space="preserve">16/03/2026</t>
  </si>
  <si>
    <t xml:space="preserve">18.89</t>
  </si>
  <si>
    <t xml:space="preserve">2026-03-16 16:23</t>
  </si>
  <si>
    <t xml:space="preserve">ORD00441</t>
  </si>
  <si>
    <t xml:space="preserve">2026-02-17</t>
  </si>
  <si>
    <t xml:space="preserve">NGN 1,259.12</t>
  </si>
  <si>
    <t xml:space="preserve">2026-02-17 16:19</t>
  </si>
  <si>
    <t xml:space="preserve">ORD00200</t>
  </si>
  <si>
    <t xml:space="preserve">NGN 1,806.44</t>
  </si>
  <si>
    <t xml:space="preserve">2026-03-06 12:00</t>
  </si>
  <si>
    <t xml:space="preserve">ORD00183</t>
  </si>
  <si>
    <t xml:space="preserve">26/01/2026</t>
  </si>
  <si>
    <t xml:space="preserve">1,907.65</t>
  </si>
  <si>
    <t xml:space="preserve">2026-01-26 11:47</t>
  </si>
  <si>
    <t xml:space="preserve">ORD00290</t>
  </si>
  <si>
    <t xml:space="preserve">  Musa Lawal   </t>
  </si>
  <si>
    <t xml:space="preserve">11/07/2026</t>
  </si>
  <si>
    <t xml:space="preserve">NGN 723.40</t>
  </si>
  <si>
    <t xml:space="preserve">2026-07-11 11:41</t>
  </si>
  <si>
    <t xml:space="preserve">ORD00252</t>
  </si>
  <si>
    <t xml:space="preserve">2026-07-19</t>
  </si>
  <si>
    <t xml:space="preserve">$285.80</t>
  </si>
  <si>
    <t xml:space="preserve">2026-07-19 16:22</t>
  </si>
  <si>
    <t xml:space="preserve">ORD00094</t>
  </si>
  <si>
    <t xml:space="preserve">2026-07-18</t>
  </si>
  <si>
    <t xml:space="preserve">$1,496.62</t>
  </si>
  <si>
    <t xml:space="preserve">2026-07-18 12:28</t>
  </si>
  <si>
    <t xml:space="preserve">ORD00174</t>
  </si>
  <si>
    <t xml:space="preserve">JAMES UMEH</t>
  </si>
  <si>
    <t xml:space="preserve">09/01/2026</t>
  </si>
  <si>
    <t xml:space="preserve">$1,543.08</t>
  </si>
  <si>
    <t xml:space="preserve">2026-01-09 15:38</t>
  </si>
  <si>
    <t xml:space="preserve">ORD00416</t>
  </si>
  <si>
    <t xml:space="preserve">2026-05-16</t>
  </si>
  <si>
    <t xml:space="preserve">-3</t>
  </si>
  <si>
    <t xml:space="preserve">1,131.72</t>
  </si>
  <si>
    <t xml:space="preserve">2026-05-16 14:46</t>
  </si>
  <si>
    <t xml:space="preserve">ORD00019</t>
  </si>
  <si>
    <t xml:space="preserve">  Tunde Nnamdi   </t>
  </si>
  <si>
    <t xml:space="preserve">09-Jun-2026</t>
  </si>
  <si>
    <t xml:space="preserve">$1,663.52</t>
  </si>
  <si>
    <t xml:space="preserve">2026-06-09 13:25</t>
  </si>
  <si>
    <t xml:space="preserve">ORD00339</t>
  </si>
  <si>
    <t xml:space="preserve">30-Jan-2026</t>
  </si>
  <si>
    <t xml:space="preserve">$ 1,122.48</t>
  </si>
  <si>
    <t xml:space="preserve">2026-01-30 14:58</t>
  </si>
  <si>
    <t xml:space="preserve">ORD00508</t>
  </si>
  <si>
    <t xml:space="preserve">17/02/2026</t>
  </si>
  <si>
    <t xml:space="preserve">1,743.70</t>
  </si>
  <si>
    <t xml:space="preserve">2026-02-17 12:49</t>
  </si>
  <si>
    <t xml:space="preserve">ORD00097</t>
  </si>
  <si>
    <t xml:space="preserve"> CUST0008</t>
  </si>
  <si>
    <t xml:space="preserve">victor duru</t>
  </si>
  <si>
    <t xml:space="preserve">03/02/2026</t>
  </si>
  <si>
    <t xml:space="preserve">1338.47</t>
  </si>
  <si>
    <t xml:space="preserve">2026-02-03 09:25</t>
  </si>
  <si>
    <t xml:space="preserve">ORD00436</t>
  </si>
  <si>
    <t xml:space="preserve">2026-06-09</t>
  </si>
  <si>
    <t xml:space="preserve">1109.55</t>
  </si>
  <si>
    <t xml:space="preserve">2026-06-09 09:47</t>
  </si>
  <si>
    <t xml:space="preserve">ORD00195</t>
  </si>
  <si>
    <t xml:space="preserve">20/07/2026</t>
  </si>
  <si>
    <t xml:space="preserve">1,234.15</t>
  </si>
  <si>
    <t xml:space="preserve">2026-07-20 18:24</t>
  </si>
  <si>
    <t xml:space="preserve">ORD00216</t>
  </si>
  <si>
    <t xml:space="preserve">NGN 1,443.39</t>
  </si>
  <si>
    <t xml:space="preserve">2026-06-02 16:10</t>
  </si>
  <si>
    <t xml:space="preserve">ORD00221</t>
  </si>
  <si>
    <t xml:space="preserve">  Chidi Adamu   </t>
  </si>
  <si>
    <t xml:space="preserve">23/01/2026</t>
  </si>
  <si>
    <t xml:space="preserve">$2,165.25</t>
  </si>
  <si>
    <t xml:space="preserve">2026-01-23 13:55</t>
  </si>
  <si>
    <t xml:space="preserve">ORD00085</t>
  </si>
  <si>
    <t xml:space="preserve">19/03/2026</t>
  </si>
  <si>
    <t xml:space="preserve">$1,613.70</t>
  </si>
  <si>
    <t xml:space="preserve">2026-03-19 18:06</t>
  </si>
  <si>
    <t xml:space="preserve">ORD00519</t>
  </si>
  <si>
    <t xml:space="preserve">$50.70</t>
  </si>
  <si>
    <t xml:space="preserve">2026-06-29 10:53</t>
  </si>
  <si>
    <t xml:space="preserve">ORD00002</t>
  </si>
  <si>
    <t xml:space="preserve">BISI CHUKWU</t>
  </si>
  <si>
    <t xml:space="preserve">NGN 428.28</t>
  </si>
  <si>
    <t xml:space="preserve">2026-01-24 10:24</t>
  </si>
  <si>
    <t xml:space="preserve">ORD00469</t>
  </si>
  <si>
    <t xml:space="preserve">02/05/2026</t>
  </si>
  <si>
    <t xml:space="preserve">NGN 1,619.45</t>
  </si>
  <si>
    <t xml:space="preserve">2026-05-02 13:29</t>
  </si>
  <si>
    <t xml:space="preserve">ORD00483</t>
  </si>
  <si>
    <t xml:space="preserve">amaka yakubu</t>
  </si>
  <si>
    <t xml:space="preserve">2026-06-08</t>
  </si>
  <si>
    <t xml:space="preserve">NGN 1,376.65</t>
  </si>
  <si>
    <t xml:space="preserve">2026-06-08 14:50</t>
  </si>
  <si>
    <t xml:space="preserve">ORD00435</t>
  </si>
  <si>
    <t xml:space="preserve">2026-03-31</t>
  </si>
  <si>
    <t xml:space="preserve">$ 812.03</t>
  </si>
  <si>
    <t xml:space="preserve">2026-03-31 10:22</t>
  </si>
  <si>
    <t xml:space="preserve">ORD00415</t>
  </si>
  <si>
    <t xml:space="preserve">28/06/2026</t>
  </si>
  <si>
    <t xml:space="preserve">486.59</t>
  </si>
  <si>
    <t xml:space="preserve">2026-06-28 17:58</t>
  </si>
  <si>
    <t xml:space="preserve">ORD00434</t>
  </si>
  <si>
    <t xml:space="preserve">2026-07-08</t>
  </si>
  <si>
    <t xml:space="preserve">$626.92</t>
  </si>
  <si>
    <t xml:space="preserve">2026-07-08 09:07</t>
  </si>
  <si>
    <t xml:space="preserve">ORD00393</t>
  </si>
  <si>
    <t xml:space="preserve">2026-02-20</t>
  </si>
  <si>
    <t xml:space="preserve">$ 1,446.10</t>
  </si>
  <si>
    <t xml:space="preserve">2026-02-20 18:32</t>
  </si>
  <si>
    <t xml:space="preserve">ORD00460</t>
  </si>
  <si>
    <t xml:space="preserve">2026-03-04</t>
  </si>
  <si>
    <t xml:space="preserve">$ 706.11</t>
  </si>
  <si>
    <t xml:space="preserve">2026-03-04 08:41</t>
  </si>
  <si>
    <t xml:space="preserve">ORD00032</t>
  </si>
  <si>
    <t xml:space="preserve"> CUST0002</t>
  </si>
  <si>
    <t xml:space="preserve">2026-04-29</t>
  </si>
  <si>
    <t xml:space="preserve">NGN 139.96</t>
  </si>
  <si>
    <t xml:space="preserve">2026-04-29 12:48</t>
  </si>
  <si>
    <t xml:space="preserve">ORD00388</t>
  </si>
  <si>
    <t xml:space="preserve">  Esther Umeh   </t>
  </si>
  <si>
    <t xml:space="preserve">2026-05-01</t>
  </si>
  <si>
    <t xml:space="preserve">867.59</t>
  </si>
  <si>
    <t xml:space="preserve">2026-05-01 13:54</t>
  </si>
  <si>
    <t xml:space="preserve">ORD00270</t>
  </si>
  <si>
    <t xml:space="preserve">31-Mar-2026</t>
  </si>
  <si>
    <t xml:space="preserve">$1,970.74</t>
  </si>
  <si>
    <t xml:space="preserve">2026-03-31 14:31</t>
  </si>
  <si>
    <t xml:space="preserve">ORD00164</t>
  </si>
  <si>
    <t xml:space="preserve">  Amaka Adamu   </t>
  </si>
  <si>
    <t xml:space="preserve">17-Jun-2026</t>
  </si>
  <si>
    <t xml:space="preserve">$1,736.53</t>
  </si>
  <si>
    <t xml:space="preserve">2026-06-17 18:32</t>
  </si>
  <si>
    <t xml:space="preserve">ORD00341</t>
  </si>
  <si>
    <t xml:space="preserve">chidi adamu</t>
  </si>
  <si>
    <t xml:space="preserve">$219.63</t>
  </si>
  <si>
    <t xml:space="preserve">2026-03-24 08:40</t>
  </si>
  <si>
    <t xml:space="preserve">ORD00115</t>
  </si>
  <si>
    <t xml:space="preserve">2,044.51</t>
  </si>
  <si>
    <t xml:space="preserve">2026-01-24 11:24</t>
  </si>
  <si>
    <t xml:space="preserve">ORD00124</t>
  </si>
  <si>
    <t xml:space="preserve">  Tunde Yakubu   </t>
  </si>
  <si>
    <t xml:space="preserve">11/03/2026</t>
  </si>
  <si>
    <t xml:space="preserve">NGN 2,001.37</t>
  </si>
  <si>
    <t xml:space="preserve">2026-03-11 13:11</t>
  </si>
  <si>
    <t xml:space="preserve">ORD00379</t>
  </si>
  <si>
    <t xml:space="preserve">28/05/2026</t>
  </si>
  <si>
    <t xml:space="preserve">NGN 663.85</t>
  </si>
  <si>
    <t xml:space="preserve">2026-05-28 13:07</t>
  </si>
  <si>
    <t xml:space="preserve">ORD00381</t>
  </si>
  <si>
    <t xml:space="preserve">04/05/2026</t>
  </si>
  <si>
    <t xml:space="preserve">NGN 655.68</t>
  </si>
  <si>
    <t xml:space="preserve">2026-05-04 13:26</t>
  </si>
  <si>
    <t xml:space="preserve">ORD00160</t>
  </si>
  <si>
    <t xml:space="preserve">  Musa Chukwu   </t>
  </si>
  <si>
    <t xml:space="preserve">10/01/2026</t>
  </si>
  <si>
    <t xml:space="preserve">$ 756.50</t>
  </si>
  <si>
    <t xml:space="preserve">2026-01-10 18:34</t>
  </si>
  <si>
    <t xml:space="preserve">ORD00323</t>
  </si>
  <si>
    <t xml:space="preserve">28-Jan-2026</t>
  </si>
  <si>
    <t xml:space="preserve">1532.97</t>
  </si>
  <si>
    <t xml:space="preserve">2026-01-28 11:45</t>
  </si>
  <si>
    <t xml:space="preserve">ORD00426</t>
  </si>
  <si>
    <t xml:space="preserve">2026-01-05</t>
  </si>
  <si>
    <t xml:space="preserve">350.69</t>
  </si>
  <si>
    <t xml:space="preserve">2026-01-05 08:49</t>
  </si>
  <si>
    <t xml:space="preserve">ORD00225</t>
  </si>
  <si>
    <t xml:space="preserve">10/06/2026</t>
  </si>
  <si>
    <t xml:space="preserve">$947.30</t>
  </si>
  <si>
    <t xml:space="preserve">2026-06-10 16:47</t>
  </si>
  <si>
    <t xml:space="preserve">ORD00048</t>
  </si>
  <si>
    <t xml:space="preserve">2026-03-18</t>
  </si>
  <si>
    <t xml:space="preserve">2,475.23</t>
  </si>
  <si>
    <t xml:space="preserve">2026-03-18 11:40</t>
  </si>
  <si>
    <t xml:space="preserve">ORD00335</t>
  </si>
  <si>
    <t xml:space="preserve">31/01/2026</t>
  </si>
  <si>
    <t xml:space="preserve">115.98</t>
  </si>
  <si>
    <t xml:space="preserve">2026-01-31 08:21</t>
  </si>
  <si>
    <t xml:space="preserve">ORD00182</t>
  </si>
  <si>
    <t xml:space="preserve">2026-03-03</t>
  </si>
  <si>
    <t xml:space="preserve">814.21</t>
  </si>
  <si>
    <t xml:space="preserve">2026-03-03 12:23</t>
  </si>
  <si>
    <t xml:space="preserve">ORD00418</t>
  </si>
  <si>
    <t xml:space="preserve">ola obi</t>
  </si>
  <si>
    <t xml:space="preserve">06-Jun-2026</t>
  </si>
  <si>
    <t xml:space="preserve">816.66</t>
  </si>
  <si>
    <t xml:space="preserve">2026-06-06 10:11</t>
  </si>
  <si>
    <t xml:space="preserve">ORD00265</t>
  </si>
  <si>
    <t xml:space="preserve">24/03/2026</t>
  </si>
  <si>
    <t xml:space="preserve">$ 69.45</t>
  </si>
  <si>
    <t xml:space="preserve">2026-03-24 13:04</t>
  </si>
  <si>
    <t xml:space="preserve">ORD00148</t>
  </si>
  <si>
    <t xml:space="preserve">2026-04-11</t>
  </si>
  <si>
    <t xml:space="preserve">1,852.21</t>
  </si>
  <si>
    <t xml:space="preserve">2026-04-11 15:45</t>
  </si>
  <si>
    <t xml:space="preserve">ORD00464</t>
  </si>
  <si>
    <t xml:space="preserve">yusuf sani</t>
  </si>
  <si>
    <t xml:space="preserve">06/06/2026</t>
  </si>
  <si>
    <t xml:space="preserve">$ 286.62</t>
  </si>
  <si>
    <t xml:space="preserve">2026-06-06 14:38</t>
  </si>
  <si>
    <t xml:space="preserve">ORD00011</t>
  </si>
  <si>
    <t xml:space="preserve">  Musa Sani   </t>
  </si>
  <si>
    <t xml:space="preserve">11/02/2026</t>
  </si>
  <si>
    <t xml:space="preserve">NGN 1,385.93</t>
  </si>
  <si>
    <t xml:space="preserve">2026-02-11 10:34</t>
  </si>
  <si>
    <t xml:space="preserve">ORD00030</t>
  </si>
  <si>
    <t xml:space="preserve">2026-05-18</t>
  </si>
  <si>
    <t xml:space="preserve">2002.67</t>
  </si>
  <si>
    <t xml:space="preserve">2026-05-18 14:21</t>
  </si>
  <si>
    <t xml:space="preserve">ORD00491</t>
  </si>
  <si>
    <t xml:space="preserve">  Fatima Okafor   </t>
  </si>
  <si>
    <t xml:space="preserve">2026-04-17</t>
  </si>
  <si>
    <t xml:space="preserve">731.85</t>
  </si>
  <si>
    <t xml:space="preserve">2026-04-17 10:46</t>
  </si>
  <si>
    <t xml:space="preserve">ORD00170</t>
  </si>
  <si>
    <t xml:space="preserve">19/01/2026</t>
  </si>
  <si>
    <t xml:space="preserve">$1,067.89</t>
  </si>
  <si>
    <t xml:space="preserve">2026-01-19 15:02</t>
  </si>
  <si>
    <t xml:space="preserve">ORD00040</t>
  </si>
  <si>
    <t xml:space="preserve">GRACE AJAYI</t>
  </si>
  <si>
    <t xml:space="preserve">07-May-2026</t>
  </si>
  <si>
    <t xml:space="preserve">466.87</t>
  </si>
  <si>
    <t xml:space="preserve">2026-05-07 12:35</t>
  </si>
  <si>
    <t xml:space="preserve">ORD00506</t>
  </si>
  <si>
    <t xml:space="preserve">OLA LAWAL</t>
  </si>
  <si>
    <t xml:space="preserve">04/01/2026</t>
  </si>
  <si>
    <t xml:space="preserve">$257.78</t>
  </si>
  <si>
    <t xml:space="preserve">2026-01-04 12:12</t>
  </si>
  <si>
    <t xml:space="preserve">ORD00396</t>
  </si>
  <si>
    <t xml:space="preserve">  Fatima Okonkwo   </t>
  </si>
  <si>
    <t xml:space="preserve">2026-07-11</t>
  </si>
  <si>
    <t xml:space="preserve">NGN 1,309.53</t>
  </si>
  <si>
    <t xml:space="preserve">2026-07-11 11:42</t>
  </si>
  <si>
    <t xml:space="preserve">ORD00450</t>
  </si>
  <si>
    <t xml:space="preserve">CUSTO015</t>
  </si>
  <si>
    <t xml:space="preserve">2026-04-16</t>
  </si>
  <si>
    <t xml:space="preserve">1859.78</t>
  </si>
  <si>
    <t xml:space="preserve">2026-04-16 17:31</t>
  </si>
  <si>
    <t xml:space="preserve">ORD00138</t>
  </si>
  <si>
    <t xml:space="preserve">21/01/2026</t>
  </si>
  <si>
    <t xml:space="preserve">$ 2,372.14</t>
  </si>
  <si>
    <t xml:space="preserve">2026-01-21 17:40</t>
  </si>
  <si>
    <t xml:space="preserve">ORD00371</t>
  </si>
  <si>
    <t xml:space="preserve"> CUST0024</t>
  </si>
  <si>
    <t xml:space="preserve">06-Mar-2026</t>
  </si>
  <si>
    <t xml:space="preserve">NGN 2,139.62</t>
  </si>
  <si>
    <t xml:space="preserve">2026-03-06 11:26</t>
  </si>
  <si>
    <t xml:space="preserve">ORD00466</t>
  </si>
  <si>
    <t xml:space="preserve">01-Jul-2026</t>
  </si>
  <si>
    <t xml:space="preserve">$2,448.46</t>
  </si>
  <si>
    <t xml:space="preserve">2026-07-01 11:51</t>
  </si>
  <si>
    <t xml:space="preserve">ORD00315</t>
  </si>
  <si>
    <t xml:space="preserve">chidi umeh</t>
  </si>
  <si>
    <t xml:space="preserve">NGN 295.65</t>
  </si>
  <si>
    <t xml:space="preserve">2026-05-04 08:45</t>
  </si>
  <si>
    <t xml:space="preserve">ORD00421</t>
  </si>
  <si>
    <t xml:space="preserve">$1,329.62</t>
  </si>
  <si>
    <t xml:space="preserve">2026-06-07 09:06</t>
  </si>
  <si>
    <t xml:space="preserve">ORD00073</t>
  </si>
  <si>
    <t xml:space="preserve">cust0029</t>
  </si>
  <si>
    <t xml:space="preserve">james uche</t>
  </si>
  <si>
    <t xml:space="preserve">24-Jan-2026</t>
  </si>
  <si>
    <t xml:space="preserve">NGN 826.90</t>
  </si>
  <si>
    <t xml:space="preserve">2026-01-24 16:32</t>
  </si>
  <si>
    <t xml:space="preserve">ORD00444</t>
  </si>
  <si>
    <t xml:space="preserve">2026-06-10</t>
  </si>
  <si>
    <t xml:space="preserve">$ 1,052.07</t>
  </si>
  <si>
    <t xml:space="preserve">2026-06-10 13:28</t>
  </si>
  <si>
    <t xml:space="preserve">ORD00244</t>
  </si>
  <si>
    <t xml:space="preserve">amaka adamu</t>
  </si>
  <si>
    <t xml:space="preserve">12/01/2026</t>
  </si>
  <si>
    <t xml:space="preserve">919.48</t>
  </si>
  <si>
    <t xml:space="preserve">2026-01-12 18:26</t>
  </si>
  <si>
    <t xml:space="preserve">ORD00453</t>
  </si>
  <si>
    <t xml:space="preserve">23/05/2026</t>
  </si>
  <si>
    <t xml:space="preserve">$1,297.57</t>
  </si>
  <si>
    <t xml:space="preserve">2026-05-23 12:29</t>
  </si>
  <si>
    <t xml:space="preserve">ORD00319</t>
  </si>
  <si>
    <t xml:space="preserve"> CUST0016</t>
  </si>
  <si>
    <t xml:space="preserve">25/04/2026</t>
  </si>
  <si>
    <t xml:space="preserve">NGN 2,143.62</t>
  </si>
  <si>
    <t xml:space="preserve">2026-04-25 09:25</t>
  </si>
  <si>
    <t xml:space="preserve">ORD00096</t>
  </si>
  <si>
    <t xml:space="preserve">grace ajayi</t>
  </si>
  <si>
    <t xml:space="preserve">2026-04-12</t>
  </si>
  <si>
    <t xml:space="preserve">151.13</t>
  </si>
  <si>
    <t xml:space="preserve">2026-04-12 12:20</t>
  </si>
  <si>
    <t xml:space="preserve">ORD00334</t>
  </si>
  <si>
    <t xml:space="preserve">  Kemi Umeh   </t>
  </si>
  <si>
    <t xml:space="preserve">2026-07-13</t>
  </si>
  <si>
    <t xml:space="preserve">$ 1,373.34</t>
  </si>
  <si>
    <t xml:space="preserve">2026-07-13 15:11</t>
  </si>
  <si>
    <t xml:space="preserve">ORD00445</t>
  </si>
  <si>
    <t xml:space="preserve">1714.86</t>
  </si>
  <si>
    <t xml:space="preserve">2026-05-29 10:27</t>
  </si>
  <si>
    <t xml:space="preserve">ORD00067</t>
  </si>
  <si>
    <t xml:space="preserve">25/03/2026</t>
  </si>
  <si>
    <t xml:space="preserve">744.02</t>
  </si>
  <si>
    <t xml:space="preserve">2026-03-25 18:50</t>
  </si>
  <si>
    <t xml:space="preserve">ORD00044</t>
  </si>
  <si>
    <t xml:space="preserve">$1,498.02</t>
  </si>
  <si>
    <t xml:space="preserve">2026-07-14 12:00</t>
  </si>
  <si>
    <t xml:space="preserve">ORD00079</t>
  </si>
  <si>
    <t xml:space="preserve">1730.35</t>
  </si>
  <si>
    <t xml:space="preserve">2026-03-13 09:43</t>
  </si>
  <si>
    <t xml:space="preserve">ORD00366</t>
  </si>
  <si>
    <t xml:space="preserve">$ 56.16</t>
  </si>
  <si>
    <t xml:space="preserve">2026-02-03 17:06</t>
  </si>
  <si>
    <t xml:space="preserve">ORD00458</t>
  </si>
  <si>
    <t xml:space="preserve">cust0046</t>
  </si>
  <si>
    <t xml:space="preserve">  Fatima Nnamdi   </t>
  </si>
  <si>
    <t xml:space="preserve">06/07/2026</t>
  </si>
  <si>
    <t xml:space="preserve">732.62</t>
  </si>
  <si>
    <t xml:space="preserve">2026-07-06 17:48</t>
  </si>
  <si>
    <t xml:space="preserve">ORD00078</t>
  </si>
  <si>
    <t xml:space="preserve">27-Apr-2026</t>
  </si>
  <si>
    <t xml:space="preserve">$ 1,681.16</t>
  </si>
  <si>
    <t xml:space="preserve">2026-04-27 18:06</t>
  </si>
  <si>
    <t xml:space="preserve">ORD00412</t>
  </si>
  <si>
    <t xml:space="preserve">2026-01-11</t>
  </si>
  <si>
    <t xml:space="preserve">NGN 1,961.94</t>
  </si>
  <si>
    <t xml:space="preserve">2026-01-11 11:10</t>
  </si>
  <si>
    <t xml:space="preserve">ORD00213</t>
  </si>
  <si>
    <t xml:space="preserve">FATIMA OKONKWO</t>
  </si>
  <si>
    <t xml:space="preserve">$ 2,001.76</t>
  </si>
  <si>
    <t xml:space="preserve">2026-05-28 12:42</t>
  </si>
  <si>
    <t xml:space="preserve">ORD00136</t>
  </si>
  <si>
    <t xml:space="preserve">  James Umeh   </t>
  </si>
  <si>
    <t xml:space="preserve">13-May-2026</t>
  </si>
  <si>
    <t xml:space="preserve">2,117.15</t>
  </si>
  <si>
    <t xml:space="preserve">2026-05-13 18:19</t>
  </si>
  <si>
    <t xml:space="preserve">ORD00309</t>
  </si>
  <si>
    <t xml:space="preserve">  Joy Lawal   </t>
  </si>
  <si>
    <t xml:space="preserve">2026-05-14</t>
  </si>
  <si>
    <t xml:space="preserve">NGN 904.44</t>
  </si>
  <si>
    <t xml:space="preserve">2026-05-14 15:21</t>
  </si>
  <si>
    <t xml:space="preserve">ORD00305</t>
  </si>
  <si>
    <t xml:space="preserve">CHIDI LAWAL</t>
  </si>
  <si>
    <t xml:space="preserve">2026-02-28</t>
  </si>
  <si>
    <t xml:space="preserve">1822.01</t>
  </si>
  <si>
    <t xml:space="preserve">2026-02-28 09:23</t>
  </si>
  <si>
    <t xml:space="preserve">ORD00302</t>
  </si>
  <si>
    <t xml:space="preserve">03/05/2026</t>
  </si>
  <si>
    <t xml:space="preserve">$ 26.60</t>
  </si>
  <si>
    <t xml:space="preserve">2026-05-03 16:12</t>
  </si>
  <si>
    <t xml:space="preserve">ORD00125</t>
  </si>
  <si>
    <t xml:space="preserve">NGN 2,005.85</t>
  </si>
  <si>
    <t xml:space="preserve">2026-05-13 16:18</t>
  </si>
  <si>
    <t xml:space="preserve">ORD00084</t>
  </si>
  <si>
    <t xml:space="preserve">$ 1,948.37</t>
  </si>
  <si>
    <t xml:space="preserve">2026-05-02 08:46</t>
  </si>
  <si>
    <t xml:space="preserve">ORD00203</t>
  </si>
  <si>
    <t xml:space="preserve">11-Apr-2026</t>
  </si>
  <si>
    <t xml:space="preserve">$ 298.01</t>
  </si>
  <si>
    <t xml:space="preserve">2026-04-11 08:46</t>
  </si>
  <si>
    <t xml:space="preserve">ORD00451</t>
  </si>
  <si>
    <t xml:space="preserve">$1,021.09</t>
  </si>
  <si>
    <t xml:space="preserve">2026-03-05 14:39</t>
  </si>
  <si>
    <t xml:space="preserve">ORD00372</t>
  </si>
  <si>
    <t xml:space="preserve">15-Feb-2026</t>
  </si>
  <si>
    <t xml:space="preserve">NGN 1,404.35</t>
  </si>
  <si>
    <t xml:space="preserve">2026-02-15 10:54</t>
  </si>
  <si>
    <t xml:space="preserve">ORD00149</t>
  </si>
  <si>
    <t xml:space="preserve">05-Apr-2026</t>
  </si>
  <si>
    <t xml:space="preserve">NGN 1,689.41</t>
  </si>
  <si>
    <t xml:space="preserve">2026-04-05 17:30</t>
  </si>
  <si>
    <t xml:space="preserve">ORD00106</t>
  </si>
  <si>
    <t xml:space="preserve">01/07/2026</t>
  </si>
  <si>
    <t xml:space="preserve">$ 2,477.60</t>
  </si>
  <si>
    <t xml:space="preserve">2026-07-01 14:26</t>
  </si>
  <si>
    <t xml:space="preserve">ORD00086</t>
  </si>
  <si>
    <t xml:space="preserve">815.45</t>
  </si>
  <si>
    <t xml:space="preserve">2026-01-19 16:45</t>
  </si>
  <si>
    <t xml:space="preserve">ORD00367</t>
  </si>
  <si>
    <t xml:space="preserve">03/06/2026</t>
  </si>
  <si>
    <t xml:space="preserve">$ 2,196.22</t>
  </si>
  <si>
    <t xml:space="preserve">2026-06-03 17:34</t>
  </si>
  <si>
    <t xml:space="preserve">ORD00226</t>
  </si>
  <si>
    <t xml:space="preserve">27/04/2026</t>
  </si>
  <si>
    <t xml:space="preserve">$828.31</t>
  </si>
  <si>
    <t xml:space="preserve">2026-04-27 18:42</t>
  </si>
  <si>
    <t xml:space="preserve">ORD00438</t>
  </si>
  <si>
    <t xml:space="preserve">  Joy Eze   </t>
  </si>
  <si>
    <t xml:space="preserve">21/05/2026</t>
  </si>
  <si>
    <t xml:space="preserve">-4</t>
  </si>
  <si>
    <t xml:space="preserve">1563.26</t>
  </si>
  <si>
    <t xml:space="preserve">2026-05-21 18:33</t>
  </si>
  <si>
    <t xml:space="preserve">ORD00210</t>
  </si>
  <si>
    <t xml:space="preserve">NGN 1,198.26</t>
  </si>
  <si>
    <t xml:space="preserve">2026-05-04 08:51</t>
  </si>
  <si>
    <t xml:space="preserve">ORD00501</t>
  </si>
  <si>
    <t xml:space="preserve">esther umeh</t>
  </si>
  <si>
    <t xml:space="preserve">1929.36</t>
  </si>
  <si>
    <t xml:space="preserve">2026-05-07 17:46</t>
  </si>
  <si>
    <t xml:space="preserve">ORD00275</t>
  </si>
  <si>
    <t xml:space="preserve">CUSTO024</t>
  </si>
  <si>
    <t xml:space="preserve">$1,208.62</t>
  </si>
  <si>
    <t xml:space="preserve">2026-06-19 15:54</t>
  </si>
  <si>
    <t xml:space="preserve">ORD00407</t>
  </si>
  <si>
    <t xml:space="preserve">NGOZI SANI</t>
  </si>
  <si>
    <t xml:space="preserve">01/03/2026</t>
  </si>
  <si>
    <t xml:space="preserve">NGN 389.45</t>
  </si>
  <si>
    <t xml:space="preserve">2026-03-01 13:29</t>
  </si>
  <si>
    <t xml:space="preserve">ORD00222</t>
  </si>
  <si>
    <t xml:space="preserve">361.00</t>
  </si>
  <si>
    <t xml:space="preserve">2026-02-12 16:17</t>
  </si>
  <si>
    <t xml:space="preserve">ORD00166</t>
  </si>
  <si>
    <t xml:space="preserve">06/04/2026</t>
  </si>
  <si>
    <t xml:space="preserve">NGN 1,759.32</t>
  </si>
  <si>
    <t xml:space="preserve">2026-04-06 11:43</t>
  </si>
  <si>
    <t xml:space="preserve">ORD00189</t>
  </si>
  <si>
    <t xml:space="preserve">NGN 679.30</t>
  </si>
  <si>
    <t xml:space="preserve">2026-03-06 11:44</t>
  </si>
  <si>
    <t xml:space="preserve">ORD00352</t>
  </si>
  <si>
    <t xml:space="preserve">12-Mar-2026</t>
  </si>
  <si>
    <t xml:space="preserve">348.75</t>
  </si>
  <si>
    <t xml:space="preserve">2026-03-12 15:35</t>
  </si>
  <si>
    <t xml:space="preserve">ORD00274</t>
  </si>
  <si>
    <t xml:space="preserve">09-Mar-2026</t>
  </si>
  <si>
    <t xml:space="preserve">$754.04</t>
  </si>
  <si>
    <t xml:space="preserve">2026-03-09 10:03</t>
  </si>
  <si>
    <t xml:space="preserve">ORD00089</t>
  </si>
  <si>
    <t xml:space="preserve">22/01/2026</t>
  </si>
  <si>
    <t xml:space="preserve">1,088.21</t>
  </si>
  <si>
    <t xml:space="preserve">2026-01-22 16:21</t>
  </si>
  <si>
    <t xml:space="preserve">ORD00419</t>
  </si>
  <si>
    <t xml:space="preserve">CUSTO056</t>
  </si>
  <si>
    <t xml:space="preserve">19/02/2026</t>
  </si>
  <si>
    <t xml:space="preserve">NGN 94.07</t>
  </si>
  <si>
    <t xml:space="preserve">2026-02-19 12:03</t>
  </si>
  <si>
    <t xml:space="preserve">ORD00034</t>
  </si>
  <si>
    <t xml:space="preserve">2026-02-09</t>
  </si>
  <si>
    <t xml:space="preserve">$328.66</t>
  </si>
  <si>
    <t xml:space="preserve">2026-02-09 13:10</t>
  </si>
  <si>
    <t xml:space="preserve">ORD00411</t>
  </si>
  <si>
    <t xml:space="preserve">2026-06-20</t>
  </si>
  <si>
    <t xml:space="preserve">2433.59</t>
  </si>
  <si>
    <t xml:space="preserve">2026-06-20 17:07</t>
  </si>
  <si>
    <t xml:space="preserve">ORD00175</t>
  </si>
  <si>
    <t xml:space="preserve">EMEKA YAKUBU</t>
  </si>
  <si>
    <t xml:space="preserve">04/03/2026</t>
  </si>
  <si>
    <t xml:space="preserve">1014.63</t>
  </si>
  <si>
    <t xml:space="preserve">2026-03-04 10:32</t>
  </si>
  <si>
    <t xml:space="preserve">ORD00353</t>
  </si>
  <si>
    <t xml:space="preserve">21-Jan-2026</t>
  </si>
  <si>
    <t xml:space="preserve">2148.90</t>
  </si>
  <si>
    <t xml:space="preserve">2026-01-21 09:57</t>
  </si>
  <si>
    <t xml:space="preserve">ORD00076</t>
  </si>
  <si>
    <t xml:space="preserve">13-Jun-2026</t>
  </si>
  <si>
    <t xml:space="preserve">284.24</t>
  </si>
  <si>
    <t xml:space="preserve">2026-06-13 13:58</t>
  </si>
  <si>
    <t xml:space="preserve">ORD00006</t>
  </si>
  <si>
    <t xml:space="preserve">2026-06-18</t>
  </si>
  <si>
    <t xml:space="preserve">1,419.59</t>
  </si>
  <si>
    <t xml:space="preserve">2026-06-18 12:25</t>
  </si>
  <si>
    <t xml:space="preserve">ORD00161</t>
  </si>
  <si>
    <t xml:space="preserve">samuel sani</t>
  </si>
  <si>
    <t xml:space="preserve">10/05/2026</t>
  </si>
  <si>
    <t xml:space="preserve">$693.00</t>
  </si>
  <si>
    <t xml:space="preserve">2026-05-10 10:00</t>
  </si>
  <si>
    <t xml:space="preserve">ORD00134</t>
  </si>
  <si>
    <t xml:space="preserve">2026-01-19</t>
  </si>
  <si>
    <t xml:space="preserve">$2,431.36</t>
  </si>
  <si>
    <t xml:space="preserve">2026-01-19 16:40</t>
  </si>
  <si>
    <t xml:space="preserve">ORD00053</t>
  </si>
  <si>
    <t xml:space="preserve">JOY AJAYI</t>
  </si>
  <si>
    <t xml:space="preserve">$ 2,405.35</t>
  </si>
  <si>
    <t xml:space="preserve">2026-01-24 17:02</t>
  </si>
  <si>
    <t xml:space="preserve">ORD00472</t>
  </si>
  <si>
    <t xml:space="preserve">230.69</t>
  </si>
  <si>
    <t xml:space="preserve">2026-03-11 16:19</t>
  </si>
  <si>
    <t xml:space="preserve">ORD00039</t>
  </si>
  <si>
    <t xml:space="preserve">10-Mar-2026</t>
  </si>
  <si>
    <t xml:space="preserve">$2,131.51</t>
  </si>
  <si>
    <t xml:space="preserve">2026-03-10 17:39</t>
  </si>
  <si>
    <t xml:space="preserve">ORD00128</t>
  </si>
  <si>
    <t xml:space="preserve">$2,374.43</t>
  </si>
  <si>
    <t xml:space="preserve">2026-04-03 13:28</t>
  </si>
  <si>
    <t xml:space="preserve">ORD00452</t>
  </si>
  <si>
    <t xml:space="preserve">15/05/2026</t>
  </si>
  <si>
    <t xml:space="preserve">NGN 1,308.81</t>
  </si>
  <si>
    <t xml:space="preserve">2026-05-15 16:34</t>
  </si>
  <si>
    <t xml:space="preserve">ORD00497</t>
  </si>
  <si>
    <t xml:space="preserve">07-Jul-2026</t>
  </si>
  <si>
    <t xml:space="preserve">1,061.23</t>
  </si>
  <si>
    <t xml:space="preserve">2026-07-07 12:46</t>
  </si>
  <si>
    <t xml:space="preserve">ORD00349</t>
  </si>
  <si>
    <t xml:space="preserve">2026-01-14</t>
  </si>
  <si>
    <t xml:space="preserve">$ 1,161.24</t>
  </si>
  <si>
    <t xml:space="preserve">2026-01-14 11:46</t>
  </si>
  <si>
    <t xml:space="preserve">ORD00280</t>
  </si>
  <si>
    <t xml:space="preserve">2026-02-14</t>
  </si>
  <si>
    <t xml:space="preserve">2430.83</t>
  </si>
  <si>
    <t xml:space="preserve">2026-02-14 11:52</t>
  </si>
  <si>
    <t xml:space="preserve">ORD00333</t>
  </si>
  <si>
    <t xml:space="preserve">14/01/2026</t>
  </si>
  <si>
    <t xml:space="preserve">1863.02</t>
  </si>
  <si>
    <t xml:space="preserve">2026-01-14 11:58</t>
  </si>
  <si>
    <t xml:space="preserve">ORD00266</t>
  </si>
  <si>
    <t xml:space="preserve">31/05/2026</t>
  </si>
  <si>
    <t xml:space="preserve">851.35</t>
  </si>
  <si>
    <t xml:space="preserve">2026-05-31 18:31</t>
  </si>
  <si>
    <t xml:space="preserve">ORD00509</t>
  </si>
  <si>
    <t xml:space="preserve">  James Adamu   </t>
  </si>
  <si>
    <t xml:space="preserve">2026-03-07</t>
  </si>
  <si>
    <t xml:space="preserve">1,955.12</t>
  </si>
  <si>
    <t xml:space="preserve">2026-03-07 12:52</t>
  </si>
  <si>
    <t xml:space="preserve">ORD00074</t>
  </si>
  <si>
    <t xml:space="preserve">07/03/2026</t>
  </si>
  <si>
    <t xml:space="preserve">2,418.95</t>
  </si>
  <si>
    <t xml:space="preserve">2026-03-07 09:09</t>
  </si>
  <si>
    <t xml:space="preserve">ORD00502</t>
  </si>
  <si>
    <t xml:space="preserve">13/07/2026</t>
  </si>
  <si>
    <t xml:space="preserve">NGN 145.52</t>
  </si>
  <si>
    <t xml:space="preserve">2026-07-13 11:24</t>
  </si>
  <si>
    <t xml:space="preserve">ORD00230</t>
  </si>
  <si>
    <t xml:space="preserve">10-Jun-2026</t>
  </si>
  <si>
    <t xml:space="preserve">1819.08</t>
  </si>
  <si>
    <t xml:space="preserve">2026-06-10 11:30</t>
  </si>
  <si>
    <t xml:space="preserve">ORD00101</t>
  </si>
  <si>
    <t xml:space="preserve">02/03/2026</t>
  </si>
  <si>
    <t xml:space="preserve">378.91</t>
  </si>
  <si>
    <t xml:space="preserve">2026-03-02 10:49</t>
  </si>
  <si>
    <t xml:space="preserve">ORD00332</t>
  </si>
  <si>
    <t xml:space="preserve">2026-04-10</t>
  </si>
  <si>
    <t xml:space="preserve">1,284.64</t>
  </si>
  <si>
    <t xml:space="preserve">2026-04-10 14:50</t>
  </si>
  <si>
    <t xml:space="preserve">ORD00346</t>
  </si>
  <si>
    <t xml:space="preserve">08/04/2026</t>
  </si>
  <si>
    <t xml:space="preserve">$2,057.97</t>
  </si>
  <si>
    <t xml:space="preserve">2026-04-08 16:18</t>
  </si>
  <si>
    <t xml:space="preserve">ORD00398</t>
  </si>
  <si>
    <t xml:space="preserve">27-Jan-2026</t>
  </si>
  <si>
    <t xml:space="preserve">$1,550.98</t>
  </si>
  <si>
    <t xml:space="preserve">2026-01-27 11:47</t>
  </si>
  <si>
    <t xml:space="preserve">ORD00247</t>
  </si>
  <si>
    <t xml:space="preserve">1852.85</t>
  </si>
  <si>
    <t xml:space="preserve">2026-07-20 16:48</t>
  </si>
  <si>
    <t xml:space="preserve">ORD00229</t>
  </si>
  <si>
    <t xml:space="preserve">james adamu</t>
  </si>
  <si>
    <t xml:space="preserve">16-Jun-2026</t>
  </si>
  <si>
    <t xml:space="preserve">410.06</t>
  </si>
  <si>
    <t xml:space="preserve">2026-06-16 18:57</t>
  </si>
  <si>
    <t xml:space="preserve">ORD00489</t>
  </si>
  <si>
    <t xml:space="preserve">ESTHER UMEH</t>
  </si>
  <si>
    <t xml:space="preserve">2026-06-30</t>
  </si>
  <si>
    <t xml:space="preserve">2,054.57</t>
  </si>
  <si>
    <t xml:space="preserve">2026-06-30 14:44</t>
  </si>
  <si>
    <t xml:space="preserve">ORD00470</t>
  </si>
  <si>
    <t xml:space="preserve">14-May-2026</t>
  </si>
  <si>
    <t xml:space="preserve">1,418.88</t>
  </si>
  <si>
    <t xml:space="preserve">2026-05-14 13:04</t>
  </si>
  <si>
    <t xml:space="preserve">ORD00227</t>
  </si>
  <si>
    <t xml:space="preserve">17/05/2026</t>
  </si>
  <si>
    <t xml:space="preserve">NGN 556.31</t>
  </si>
  <si>
    <t xml:space="preserve">2026-05-17 13:35</t>
  </si>
  <si>
    <t xml:space="preserve">ORD00269</t>
  </si>
  <si>
    <t xml:space="preserve">tunde okonkwo</t>
  </si>
  <si>
    <t xml:space="preserve">26/03/2026</t>
  </si>
  <si>
    <t xml:space="preserve">606.42</t>
  </si>
  <si>
    <t xml:space="preserve">2026-03-26 15:00</t>
  </si>
  <si>
    <t xml:space="preserve">ORD00312</t>
  </si>
  <si>
    <t xml:space="preserve">CUSTO008</t>
  </si>
  <si>
    <t xml:space="preserve">VICTOR DURU</t>
  </si>
  <si>
    <t xml:space="preserve">NGN 831.72</t>
  </si>
  <si>
    <t xml:space="preserve">2026-02-05 13:11</t>
  </si>
  <si>
    <t xml:space="preserve">ORD00178</t>
  </si>
  <si>
    <t xml:space="preserve">yusuf yakubu</t>
  </si>
  <si>
    <t xml:space="preserve">18/03/2026</t>
  </si>
  <si>
    <t xml:space="preserve">$ 471.94</t>
  </si>
  <si>
    <t xml:space="preserve">2026-03-18 15:58</t>
  </si>
  <si>
    <t xml:space="preserve">ORD00362</t>
  </si>
  <si>
    <t xml:space="preserve">$ 1,205.37</t>
  </si>
  <si>
    <t xml:space="preserve">2026-05-04 08:08</t>
  </si>
  <si>
    <t xml:space="preserve">ORD00173</t>
  </si>
  <si>
    <t xml:space="preserve">NGN 1,068.96</t>
  </si>
  <si>
    <t xml:space="preserve">2026-06-22 12:12</t>
  </si>
  <si>
    <t xml:space="preserve">ORD00205</t>
  </si>
  <si>
    <t xml:space="preserve">03/07/2026</t>
  </si>
  <si>
    <t xml:space="preserve">$1,975.86</t>
  </si>
  <si>
    <t xml:space="preserve">2026-07-03 16:32</t>
  </si>
  <si>
    <t xml:space="preserve">ORD00311</t>
  </si>
  <si>
    <t xml:space="preserve">09/03/2026</t>
  </si>
  <si>
    <t xml:space="preserve">139.45</t>
  </si>
  <si>
    <t xml:space="preserve">2026-03-09 14:47</t>
  </si>
  <si>
    <t xml:space="preserve">ORD00159</t>
  </si>
  <si>
    <t xml:space="preserve">AHMED NWOSU</t>
  </si>
  <si>
    <t xml:space="preserve">2207.38</t>
  </si>
  <si>
    <t xml:space="preserve">2026-02-14 10:59</t>
  </si>
  <si>
    <t xml:space="preserve">ORD00262</t>
  </si>
  <si>
    <t xml:space="preserve">1913.66</t>
  </si>
  <si>
    <t xml:space="preserve">2026-05-17 10:11</t>
  </si>
  <si>
    <t xml:space="preserve">ORD00150</t>
  </si>
  <si>
    <t xml:space="preserve">2026-05-28</t>
  </si>
  <si>
    <t xml:space="preserve">$ 1,807.68</t>
  </si>
  <si>
    <t xml:space="preserve">2026-05-28 14:09</t>
  </si>
  <si>
    <t xml:space="preserve">ORD00463</t>
  </si>
  <si>
    <t xml:space="preserve">14/07/2026</t>
  </si>
  <si>
    <t xml:space="preserve">$2,110.62</t>
  </si>
  <si>
    <t xml:space="preserve">2026-07-14 13:33</t>
  </si>
  <si>
    <t xml:space="preserve">ORD00063</t>
  </si>
  <si>
    <t xml:space="preserve">2026-04-09</t>
  </si>
  <si>
    <t xml:space="preserve">$1,245.89</t>
  </si>
  <si>
    <t xml:space="preserve">2026-04-09 15:06</t>
  </si>
  <si>
    <t xml:space="preserve">ORD00257</t>
  </si>
  <si>
    <t xml:space="preserve">  Blessing Balogun   </t>
  </si>
  <si>
    <t xml:space="preserve">01/02/2026</t>
  </si>
  <si>
    <t xml:space="preserve">$2,356.57</t>
  </si>
  <si>
    <t xml:space="preserve">2026-02-01 15:01</t>
  </si>
  <si>
    <t xml:space="preserve">ORD00410</t>
  </si>
  <si>
    <t xml:space="preserve">$1,578.47</t>
  </si>
  <si>
    <t xml:space="preserve">2026-03-24 15:40</t>
  </si>
  <si>
    <t xml:space="preserve">ORD00336</t>
  </si>
  <si>
    <t xml:space="preserve">$ 2,322.64</t>
  </si>
  <si>
    <t xml:space="preserve">2026-01-11 15:50</t>
  </si>
  <si>
    <t xml:space="preserve">ORD00177</t>
  </si>
  <si>
    <t xml:space="preserve">2026-06-01</t>
  </si>
  <si>
    <t xml:space="preserve">NGN 1,570.59</t>
  </si>
  <si>
    <t xml:space="preserve">2026-06-01 16:20</t>
  </si>
  <si>
    <t xml:space="preserve">ORD00191</t>
  </si>
  <si>
    <t xml:space="preserve">25/05/2026</t>
  </si>
  <si>
    <t xml:space="preserve">$2,238.56</t>
  </si>
  <si>
    <t xml:space="preserve">2026-05-25 15:17</t>
  </si>
  <si>
    <t xml:space="preserve">ORD00033</t>
  </si>
  <si>
    <t xml:space="preserve">SAMUEL AJAYI</t>
  </si>
  <si>
    <t xml:space="preserve">01/05/2026</t>
  </si>
  <si>
    <t xml:space="preserve">$1,876.33</t>
  </si>
  <si>
    <t xml:space="preserve">2026-05-01 08:15</t>
  </si>
  <si>
    <t xml:space="preserve">ORD00409</t>
  </si>
  <si>
    <t xml:space="preserve">09/04/2026</t>
  </si>
  <si>
    <t xml:space="preserve">$629.20</t>
  </si>
  <si>
    <t xml:space="preserve">2026-04-09 18:13</t>
  </si>
  <si>
    <t xml:space="preserve">ORD00476</t>
  </si>
  <si>
    <t xml:space="preserve">23/03/2026</t>
  </si>
  <si>
    <t xml:space="preserve">1,682.74</t>
  </si>
  <si>
    <t xml:space="preserve">2026-03-23 16:32</t>
  </si>
  <si>
    <t xml:space="preserve">ORD00217</t>
  </si>
  <si>
    <t xml:space="preserve">22/03/2026</t>
  </si>
  <si>
    <t xml:space="preserve">1,554.23</t>
  </si>
  <si>
    <t xml:space="preserve">2026-03-22 16:32</t>
  </si>
  <si>
    <t xml:space="preserve">ORD00258</t>
  </si>
  <si>
    <t xml:space="preserve">2026-04-01</t>
  </si>
  <si>
    <t xml:space="preserve">2,272.14</t>
  </si>
  <si>
    <t xml:space="preserve">2026-04-01 17:39</t>
  </si>
  <si>
    <t xml:space="preserve">ORD00181</t>
  </si>
  <si>
    <t xml:space="preserve">541.34</t>
  </si>
  <si>
    <t xml:space="preserve">2026-03-19 11:44</t>
  </si>
  <si>
    <t xml:space="preserve">ORD00165</t>
  </si>
  <si>
    <t xml:space="preserve">1,602.20</t>
  </si>
  <si>
    <t xml:space="preserve">2026-06-26 15:09</t>
  </si>
  <si>
    <t xml:space="preserve">ORD00116</t>
  </si>
  <si>
    <t xml:space="preserve">2,100.35</t>
  </si>
  <si>
    <t xml:space="preserve">2026-03-23 10:48</t>
  </si>
  <si>
    <t xml:space="preserve">ORD00457</t>
  </si>
  <si>
    <t xml:space="preserve">2026-01-12</t>
  </si>
  <si>
    <t xml:space="preserve">$ 2,281.95</t>
  </si>
  <si>
    <t xml:space="preserve">2026-01-12 10:49</t>
  </si>
  <si>
    <t xml:space="preserve">ORD00513</t>
  </si>
  <si>
    <t xml:space="preserve">2026-05-19</t>
  </si>
  <si>
    <t xml:space="preserve">NGN 23.22</t>
  </si>
  <si>
    <t xml:space="preserve">2026-05-19 13:43</t>
  </si>
  <si>
    <t xml:space="preserve">ORD00059</t>
  </si>
  <si>
    <t xml:space="preserve">03-Jul-2026</t>
  </si>
  <si>
    <t xml:space="preserve">1,279.55</t>
  </si>
  <si>
    <t xml:space="preserve">2026-07-03 15:35</t>
  </si>
  <si>
    <t xml:space="preserve">ORD00484</t>
  </si>
  <si>
    <t xml:space="preserve">2026-05-20</t>
  </si>
  <si>
    <t xml:space="preserve">$445.12</t>
  </si>
  <si>
    <t xml:space="preserve">2026-05-20 09:37</t>
  </si>
  <si>
    <t xml:space="preserve">ORD00325</t>
  </si>
  <si>
    <t xml:space="preserve">$ 1,215.09</t>
  </si>
  <si>
    <t xml:space="preserve">2026-04-21 10:46</t>
  </si>
  <si>
    <t xml:space="preserve">ORD00298</t>
  </si>
  <si>
    <t xml:space="preserve">18-Apr-2026</t>
  </si>
  <si>
    <t xml:space="preserve">$ 938.63</t>
  </si>
  <si>
    <t xml:space="preserve">2026-04-18 18:37</t>
  </si>
  <si>
    <t xml:space="preserve">ORD00405</t>
  </si>
  <si>
    <t xml:space="preserve">10/03/2026</t>
  </si>
  <si>
    <t xml:space="preserve">$482.18</t>
  </si>
  <si>
    <t xml:space="preserve">2026-03-10 17:28</t>
  </si>
  <si>
    <t xml:space="preserve">ORD00105</t>
  </si>
  <si>
    <t xml:space="preserve">1196.94</t>
  </si>
  <si>
    <t xml:space="preserve">2026-03-24 09:32</t>
  </si>
  <si>
    <t xml:space="preserve">ORD00035</t>
  </si>
  <si>
    <t xml:space="preserve">$2,412.33</t>
  </si>
  <si>
    <t xml:space="preserve">2026-07-19 17:43</t>
  </si>
  <si>
    <t xml:space="preserve">ORD00090</t>
  </si>
  <si>
    <t xml:space="preserve">20/06/2026</t>
  </si>
  <si>
    <t xml:space="preserve">$2,172.21</t>
  </si>
  <si>
    <t xml:space="preserve">2026-06-20 16:13</t>
  </si>
  <si>
    <t xml:space="preserve">ORD00285</t>
  </si>
  <si>
    <t xml:space="preserve">06-Jan-2026</t>
  </si>
  <si>
    <t xml:space="preserve">2,046.20</t>
  </si>
  <si>
    <t xml:space="preserve">2026-01-06 11:08</t>
  </si>
  <si>
    <t xml:space="preserve">ORD00288</t>
  </si>
  <si>
    <t xml:space="preserve">$97.18</t>
  </si>
  <si>
    <t xml:space="preserve">2026-01-15 16:25</t>
  </si>
  <si>
    <t xml:space="preserve">ORD00345</t>
  </si>
  <si>
    <t xml:space="preserve">$128.11</t>
  </si>
  <si>
    <t xml:space="preserve">2026-07-13 17:05</t>
  </si>
  <si>
    <t xml:space="preserve">ORD00428</t>
  </si>
  <si>
    <t xml:space="preserve">aisha adeyemi</t>
  </si>
  <si>
    <t xml:space="preserve">01-Mar-2026</t>
  </si>
  <si>
    <t xml:space="preserve">$2,030.52</t>
  </si>
  <si>
    <t xml:space="preserve">2026-03-01 13:50</t>
  </si>
  <si>
    <t xml:space="preserve">ORD00188</t>
  </si>
  <si>
    <t xml:space="preserve">  Tunde Ajayi   </t>
  </si>
  <si>
    <t xml:space="preserve">18-May-2026</t>
  </si>
  <si>
    <t xml:space="preserve">NGN 57.60</t>
  </si>
  <si>
    <t xml:space="preserve">2026-05-18 16:09</t>
  </si>
  <si>
    <t xml:space="preserve">ORD00197</t>
  </si>
  <si>
    <t xml:space="preserve">cust0007</t>
  </si>
  <si>
    <t xml:space="preserve">03-Apr-2026</t>
  </si>
  <si>
    <t xml:space="preserve">$269.05</t>
  </si>
  <si>
    <t xml:space="preserve">2026-04-03 14:06</t>
  </si>
  <si>
    <t xml:space="preserve">ORD00384</t>
  </si>
  <si>
    <t xml:space="preserve">ahmed nwosu</t>
  </si>
  <si>
    <t xml:space="preserve">$402.65</t>
  </si>
  <si>
    <t xml:space="preserve">2026-06-08 17:00</t>
  </si>
  <si>
    <t xml:space="preserve">ORD00446</t>
  </si>
  <si>
    <t xml:space="preserve">2026-06-17</t>
  </si>
  <si>
    <t xml:space="preserve">2,294.02</t>
  </si>
  <si>
    <t xml:space="preserve">2026-06-17 10:20</t>
  </si>
  <si>
    <t xml:space="preserve">ORD00459</t>
  </si>
  <si>
    <t xml:space="preserve"> CUST0017</t>
  </si>
  <si>
    <t xml:space="preserve">NGN 1,525.84</t>
  </si>
  <si>
    <t xml:space="preserve">2026-05-20 14:28</t>
  </si>
  <si>
    <t xml:space="preserve">ORD00439</t>
  </si>
  <si>
    <t xml:space="preserve">2026-03-14</t>
  </si>
  <si>
    <t xml:space="preserve">$ 1,976.13</t>
  </si>
  <si>
    <t xml:space="preserve">2026-03-14 09:24</t>
  </si>
  <si>
    <t xml:space="preserve">ORD00029</t>
  </si>
  <si>
    <t xml:space="preserve"> CUST0027</t>
  </si>
  <si>
    <t xml:space="preserve">$2,365.96</t>
  </si>
  <si>
    <t xml:space="preserve">2026-07-17 08:22</t>
  </si>
  <si>
    <t xml:space="preserve">ORD00392</t>
  </si>
  <si>
    <t xml:space="preserve">10-Jul-2026</t>
  </si>
  <si>
    <t xml:space="preserve">660.53</t>
  </si>
  <si>
    <t xml:space="preserve">2026-07-10 08:26</t>
  </si>
  <si>
    <t xml:space="preserve">ORD00477</t>
  </si>
  <si>
    <t xml:space="preserve">  Tunde Okonkwo   </t>
  </si>
  <si>
    <t xml:space="preserve">21-May-2026</t>
  </si>
  <si>
    <t xml:space="preserve">688.56</t>
  </si>
  <si>
    <t xml:space="preserve">2026-05-21 13:34</t>
  </si>
  <si>
    <t xml:space="preserve">ORD00295</t>
  </si>
  <si>
    <t xml:space="preserve">04/07/2026</t>
  </si>
  <si>
    <t xml:space="preserve">1,643.67</t>
  </si>
  <si>
    <t xml:space="preserve">2026-07-04 17:45</t>
  </si>
  <si>
    <t xml:space="preserve">ORD00516</t>
  </si>
  <si>
    <t xml:space="preserve">MUSA CHUKWU</t>
  </si>
  <si>
    <t xml:space="preserve">$ 1,803.55</t>
  </si>
  <si>
    <t xml:space="preserve">2026-02-19 18:19</t>
  </si>
  <si>
    <t xml:space="preserve">ORD00394</t>
  </si>
  <si>
    <t xml:space="preserve">NGN 1,539.95</t>
  </si>
  <si>
    <t xml:space="preserve">2026-01-21 14:40</t>
  </si>
  <si>
    <t xml:space="preserve">ORD00219</t>
  </si>
  <si>
    <t xml:space="preserve">NGN 1,420.64</t>
  </si>
  <si>
    <t xml:space="preserve">2026-07-19 16:52</t>
  </si>
  <si>
    <t xml:space="preserve">ORD00326</t>
  </si>
  <si>
    <t xml:space="preserve">1,521.31</t>
  </si>
  <si>
    <t xml:space="preserve">2026-06-18 11:17</t>
  </si>
  <si>
    <t xml:space="preserve">ORD00485</t>
  </si>
  <si>
    <t xml:space="preserve">25/01/2026</t>
  </si>
  <si>
    <t xml:space="preserve">NGN 452.79</t>
  </si>
  <si>
    <t xml:space="preserve">2026-01-25 14:20</t>
  </si>
  <si>
    <t xml:space="preserve">ORD00340</t>
  </si>
  <si>
    <t xml:space="preserve">$1,814.08</t>
  </si>
  <si>
    <t xml:space="preserve">2026-03-07 15:31</t>
  </si>
  <si>
    <t xml:space="preserve">ORD00171</t>
  </si>
  <si>
    <t xml:space="preserve">ifeoma chukwu</t>
  </si>
  <si>
    <t xml:space="preserve">16/07/2026</t>
  </si>
  <si>
    <t xml:space="preserve">NGN 945.54</t>
  </si>
  <si>
    <t xml:space="preserve">2026-07-16 09:43</t>
  </si>
  <si>
    <t xml:space="preserve">ORD00198</t>
  </si>
  <si>
    <t xml:space="preserve">03-Jun-2026</t>
  </si>
  <si>
    <t xml:space="preserve">$2,161.34</t>
  </si>
  <si>
    <t xml:space="preserve">2026-06-03 11:36</t>
  </si>
  <si>
    <t xml:space="preserve">ORD00437</t>
  </si>
  <si>
    <t xml:space="preserve">07-Feb-2026</t>
  </si>
  <si>
    <t xml:space="preserve">$49.13</t>
  </si>
  <si>
    <t xml:space="preserve">2026-02-07 16:13</t>
  </si>
  <si>
    <t xml:space="preserve">ORD00001</t>
  </si>
  <si>
    <t xml:space="preserve">NGN 470.97</t>
  </si>
  <si>
    <t xml:space="preserve">2026-02-05 09:03</t>
  </si>
  <si>
    <t xml:space="preserve">ORD00373</t>
  </si>
  <si>
    <t xml:space="preserve">tunde yakubu</t>
  </si>
  <si>
    <t xml:space="preserve">2026-04-25</t>
  </si>
  <si>
    <t xml:space="preserve">$ 264.19</t>
  </si>
  <si>
    <t xml:space="preserve">2026-04-25 18:45</t>
  </si>
  <si>
    <t xml:space="preserve">ORD00190</t>
  </si>
  <si>
    <t xml:space="preserve">17/06/2026</t>
  </si>
  <si>
    <t xml:space="preserve">NGN 247.35</t>
  </si>
  <si>
    <t xml:space="preserve">2026-06-17 10:05</t>
  </si>
  <si>
    <t xml:space="preserve">ORD00095</t>
  </si>
  <si>
    <t xml:space="preserve">$ 693.82</t>
  </si>
  <si>
    <t xml:space="preserve">2026-04-24 15:33</t>
  </si>
  <si>
    <t xml:space="preserve">ORD00208</t>
  </si>
  <si>
    <t xml:space="preserve">2026-05-23</t>
  </si>
  <si>
    <t xml:space="preserve">1723.85</t>
  </si>
  <si>
    <t xml:space="preserve">2026-05-23 16:09</t>
  </si>
  <si>
    <t xml:space="preserve">ORD00071</t>
  </si>
  <si>
    <t xml:space="preserve"> CUST0019</t>
  </si>
  <si>
    <t xml:space="preserve">2026-01-03</t>
  </si>
  <si>
    <t xml:space="preserve">$2,164.69</t>
  </si>
  <si>
    <t xml:space="preserve">2026-01-03 11:38</t>
  </si>
  <si>
    <t xml:space="preserve">ORD00481</t>
  </si>
  <si>
    <t xml:space="preserve">$1,226.45</t>
  </si>
  <si>
    <t xml:space="preserve">2026-03-25 12:49</t>
  </si>
  <si>
    <t xml:space="preserve">ORD00404</t>
  </si>
  <si>
    <t xml:space="preserve">2026-04-07</t>
  </si>
  <si>
    <t xml:space="preserve">NGN 668.51</t>
  </si>
  <si>
    <t xml:space="preserve">2026-04-07 18:17</t>
  </si>
  <si>
    <t xml:space="preserve">ORD00013</t>
  </si>
  <si>
    <t xml:space="preserve">NGN 2,212.07</t>
  </si>
  <si>
    <t xml:space="preserve">2026-04-01 10:51</t>
  </si>
  <si>
    <t xml:space="preserve">ORD00299</t>
  </si>
  <si>
    <t xml:space="preserve">NGN 1,258.69</t>
  </si>
  <si>
    <t xml:space="preserve">2026-05-01 10:12</t>
  </si>
  <si>
    <t xml:space="preserve">ORD00293</t>
  </si>
  <si>
    <t xml:space="preserve">30/05/2026</t>
  </si>
  <si>
    <t xml:space="preserve">33.26</t>
  </si>
  <si>
    <t xml:space="preserve">2026-05-30 18:06</t>
  </si>
  <si>
    <t xml:space="preserve">ORD00236</t>
  </si>
  <si>
    <t xml:space="preserve"> CUST0025</t>
  </si>
  <si>
    <t xml:space="preserve">$2,223.48</t>
  </si>
  <si>
    <t xml:space="preserve">2026-01-19 14:23</t>
  </si>
  <si>
    <t xml:space="preserve">ORD00157</t>
  </si>
  <si>
    <t xml:space="preserve">chidi ajayi</t>
  </si>
  <si>
    <t xml:space="preserve">NGN 1,042.05</t>
  </si>
  <si>
    <t xml:space="preserve">2026-01-14 10:26</t>
  </si>
  <si>
    <t xml:space="preserve">ORD00478</t>
  </si>
  <si>
    <t xml:space="preserve">CUSTO029</t>
  </si>
  <si>
    <t xml:space="preserve">22/06/2026</t>
  </si>
  <si>
    <t xml:space="preserve">$278.23</t>
  </si>
  <si>
    <t xml:space="preserve">2026-06-22 17:40</t>
  </si>
  <si>
    <t xml:space="preserve">ORD00009</t>
  </si>
  <si>
    <t xml:space="preserve">2348.24</t>
  </si>
  <si>
    <t xml:space="preserve">2026-03-18 10:17</t>
  </si>
  <si>
    <t xml:space="preserve">ORD00047</t>
  </si>
  <si>
    <t xml:space="preserve">$2,484.89</t>
  </si>
  <si>
    <t xml:space="preserve">2026-03-19 11:49</t>
  </si>
  <si>
    <t xml:space="preserve">ORD00123</t>
  </si>
  <si>
    <t xml:space="preserve">22-Mar-2026</t>
  </si>
  <si>
    <t xml:space="preserve">$ 1,295.73</t>
  </si>
  <si>
    <t xml:space="preserve">2026-03-22 12:22</t>
  </si>
  <si>
    <t xml:space="preserve">ORD00377</t>
  </si>
  <si>
    <t xml:space="preserve">10/02/2026</t>
  </si>
  <si>
    <t xml:space="preserve">NGN 2,492.09</t>
  </si>
  <si>
    <t xml:space="preserve">2026-02-10 16:00</t>
  </si>
  <si>
    <t xml:space="preserve">ORD00480</t>
  </si>
  <si>
    <t xml:space="preserve"> CUST0009</t>
  </si>
  <si>
    <t xml:space="preserve">NGN 1,715.93</t>
  </si>
  <si>
    <t xml:space="preserve">2026-04-27 12:58</t>
  </si>
  <si>
    <t xml:space="preserve">ORD00068</t>
  </si>
  <si>
    <t xml:space="preserve">KEMI SANI</t>
  </si>
  <si>
    <t xml:space="preserve">1554.98</t>
  </si>
  <si>
    <t xml:space="preserve">2026-06-06 18:16</t>
  </si>
  <si>
    <t xml:space="preserve">ORD00112</t>
  </si>
  <si>
    <t xml:space="preserve">2026-04-24</t>
  </si>
  <si>
    <t xml:space="preserve">NGN 723.05</t>
  </si>
  <si>
    <t xml:space="preserve">2026-04-24 11:23</t>
  </si>
  <si>
    <t xml:space="preserve">ORD00209</t>
  </si>
  <si>
    <t xml:space="preserve">$1,048.70</t>
  </si>
  <si>
    <t xml:space="preserve">2026-01-27 12:21</t>
  </si>
  <si>
    <t xml:space="preserve">ORD00344</t>
  </si>
  <si>
    <t xml:space="preserve">  Blessing Obi   </t>
  </si>
  <si>
    <t xml:space="preserve">NGN 1,136.05</t>
  </si>
  <si>
    <t xml:space="preserve">2026-04-15 16:00</t>
  </si>
  <si>
    <t xml:space="preserve">ORD00494</t>
  </si>
  <si>
    <t xml:space="preserve">28-May-2026</t>
  </si>
  <si>
    <t xml:space="preserve">$98.15</t>
  </si>
  <si>
    <t xml:space="preserve">2026-05-28 15:44</t>
  </si>
  <si>
    <t xml:space="preserve">ORD00043</t>
  </si>
  <si>
    <t xml:space="preserve">  Chidi Umeh   </t>
  </si>
  <si>
    <t xml:space="preserve">20-Mar-2026</t>
  </si>
  <si>
    <t xml:space="preserve">587.89</t>
  </si>
  <si>
    <t xml:space="preserve">2026-03-20 11:13</t>
  </si>
  <si>
    <t xml:space="preserve">ORD00254</t>
  </si>
  <si>
    <t xml:space="preserve">NGN 2,421.47</t>
  </si>
  <si>
    <t xml:space="preserve">2026-01-24 08:25</t>
  </si>
  <si>
    <t xml:space="preserve">ORD00232</t>
  </si>
  <si>
    <t xml:space="preserve">928.39</t>
  </si>
  <si>
    <t xml:space="preserve">2026-01-27 18:43</t>
  </si>
  <si>
    <t xml:space="preserve">ORD00420</t>
  </si>
  <si>
    <t xml:space="preserve">2026-01-04</t>
  </si>
  <si>
    <t xml:space="preserve">$1,644.54</t>
  </si>
  <si>
    <t xml:space="preserve">2026-01-04 14:52</t>
  </si>
  <si>
    <t xml:space="preserve">ORD00246</t>
  </si>
  <si>
    <t xml:space="preserve">MARY ADEYEMI</t>
  </si>
  <si>
    <t xml:space="preserve">13/04/2026</t>
  </si>
  <si>
    <t xml:space="preserve">2,194.32</t>
  </si>
  <si>
    <t xml:space="preserve">2026-04-13 15:00</t>
  </si>
  <si>
    <t xml:space="preserve">ORD00202</t>
  </si>
  <si>
    <t xml:space="preserve">joy ajayi</t>
  </si>
  <si>
    <t xml:space="preserve">03-May-2026</t>
  </si>
  <si>
    <t xml:space="preserve">NGN 456.43</t>
  </si>
  <si>
    <t xml:space="preserve">2026-05-03 17:50</t>
  </si>
  <si>
    <t xml:space="preserve">ORD00490</t>
  </si>
  <si>
    <t xml:space="preserve">02/07/2026</t>
  </si>
  <si>
    <t xml:space="preserve">NGN 1,023.99</t>
  </si>
  <si>
    <t xml:space="preserve">2026-07-02 11:35</t>
  </si>
  <si>
    <t xml:space="preserve">ORD00218</t>
  </si>
  <si>
    <t xml:space="preserve">$1,229.42</t>
  </si>
  <si>
    <t xml:space="preserve">2026-04-17 08:17</t>
  </si>
  <si>
    <t xml:space="preserve">ORD00018</t>
  </si>
  <si>
    <t xml:space="preserve">  Musa Abubakar   </t>
  </si>
  <si>
    <t xml:space="preserve">$ 19.20</t>
  </si>
  <si>
    <t xml:space="preserve">2026-01-12 13:27</t>
  </si>
  <si>
    <t xml:space="preserve">ORD00259</t>
  </si>
  <si>
    <t xml:space="preserve">$1,205.39</t>
  </si>
  <si>
    <t xml:space="preserve">2026-04-16 11:40</t>
  </si>
  <si>
    <t xml:space="preserve">ORD00241</t>
  </si>
  <si>
    <t xml:space="preserve">08-May-2026</t>
  </si>
  <si>
    <t xml:space="preserve">1,314.67</t>
  </si>
  <si>
    <t xml:space="preserve">2026-05-08 09:49</t>
  </si>
  <si>
    <t xml:space="preserve">ORD00021</t>
  </si>
  <si>
    <t xml:space="preserve">$ 1,083.27</t>
  </si>
  <si>
    <t xml:space="preserve">2026-03-15 18:13</t>
  </si>
  <si>
    <t xml:space="preserve">ORD00449</t>
  </si>
  <si>
    <t xml:space="preserve"> CUST0023</t>
  </si>
  <si>
    <t xml:space="preserve">2026-05-09</t>
  </si>
  <si>
    <t xml:space="preserve">1,179.88</t>
  </si>
  <si>
    <t xml:space="preserve">2026-05-09 10:12</t>
  </si>
  <si>
    <t xml:space="preserve">ORD00214</t>
  </si>
  <si>
    <t xml:space="preserve">$ 1,534.10</t>
  </si>
  <si>
    <t xml:space="preserve">2026-06-02 10:52</t>
  </si>
  <si>
    <t xml:space="preserve">ORD00495</t>
  </si>
  <si>
    <t xml:space="preserve">12-Jul-2026</t>
  </si>
  <si>
    <t xml:space="preserve">$1,170.37</t>
  </si>
  <si>
    <t xml:space="preserve">2026-07-12 18:47</t>
  </si>
  <si>
    <t xml:space="preserve">ORD00294</t>
  </si>
  <si>
    <t xml:space="preserve">cust0031</t>
  </si>
  <si>
    <t xml:space="preserve">1,645.46</t>
  </si>
  <si>
    <t xml:space="preserve">2026-03-12 17:25</t>
  </si>
  <si>
    <t xml:space="preserve">ORD00471</t>
  </si>
  <si>
    <t xml:space="preserve">28/03/2026</t>
  </si>
  <si>
    <t xml:space="preserve">1571.88</t>
  </si>
  <si>
    <t xml:space="preserve">2026-03-28 12:45</t>
  </si>
  <si>
    <t xml:space="preserve">ORD00363</t>
  </si>
  <si>
    <t xml:space="preserve">blessing obi</t>
  </si>
  <si>
    <t xml:space="preserve">2026-06-11</t>
  </si>
  <si>
    <t xml:space="preserve">$ 112.39</t>
  </si>
  <si>
    <t xml:space="preserve">2026-06-11 16:25</t>
  </si>
  <si>
    <t xml:space="preserve">ORD00114</t>
  </si>
  <si>
    <t xml:space="preserve">2026-04-06</t>
  </si>
  <si>
    <t xml:space="preserve">$ 2,336.72</t>
  </si>
  <si>
    <t xml:space="preserve">2026-04-06 12:28</t>
  </si>
  <si>
    <t xml:space="preserve">ORD00432</t>
  </si>
  <si>
    <t xml:space="preserve">26/02/2026</t>
  </si>
  <si>
    <t xml:space="preserve">NGN 735.11</t>
  </si>
  <si>
    <t xml:space="preserve">2026-02-26 08:35</t>
  </si>
  <si>
    <t xml:space="preserve">ORD00456</t>
  </si>
  <si>
    <t xml:space="preserve">ibrahim ajayi</t>
  </si>
  <si>
    <t xml:space="preserve">NGN 241.61</t>
  </si>
  <si>
    <t xml:space="preserve">2026-07-03 16:39</t>
  </si>
  <si>
    <t xml:space="preserve">ORD00168</t>
  </si>
  <si>
    <t xml:space="preserve">2026-03-25</t>
  </si>
  <si>
    <t xml:space="preserve">1112.97</t>
  </si>
  <si>
    <t xml:space="preserve">2026-03-25 15:51</t>
  </si>
  <si>
    <t xml:space="preserve">ORD00357</t>
  </si>
  <si>
    <t xml:space="preserve">08/07/2026</t>
  </si>
  <si>
    <t xml:space="preserve">$2,348.85</t>
  </si>
  <si>
    <t xml:space="preserve">2026-07-08 13:14</t>
  </si>
  <si>
    <t xml:space="preserve">ORD00127</t>
  </si>
  <si>
    <t xml:space="preserve">JAMES ADAMU</t>
  </si>
  <si>
    <t xml:space="preserve">917.83</t>
  </si>
  <si>
    <t xml:space="preserve">2026-01-20 08:08</t>
  </si>
  <si>
    <t xml:space="preserve">ORD00220</t>
  </si>
  <si>
    <t xml:space="preserve">NGN 1,372.69</t>
  </si>
  <si>
    <t xml:space="preserve">2026-07-14 12:55</t>
  </si>
  <si>
    <t xml:space="preserve">ORD00143</t>
  </si>
  <si>
    <t xml:space="preserve">1151.22</t>
  </si>
  <si>
    <t xml:space="preserve">2026-04-11 15:38</t>
  </si>
  <si>
    <t xml:space="preserve">ORD00237</t>
  </si>
  <si>
    <t xml:space="preserve">17/07/2026</t>
  </si>
  <si>
    <t xml:space="preserve">$56.47</t>
  </si>
  <si>
    <t xml:space="preserve">2026-07-17 14:32</t>
  </si>
  <si>
    <t xml:space="preserve">ORD00468</t>
  </si>
  <si>
    <t xml:space="preserve">  Mary Okafor   </t>
  </si>
  <si>
    <t xml:space="preserve">297.88</t>
  </si>
  <si>
    <t xml:space="preserve">2026-07-16 10:12</t>
  </si>
  <si>
    <t xml:space="preserve">ORD00303</t>
  </si>
  <si>
    <t xml:space="preserve">27-Feb-2026</t>
  </si>
  <si>
    <t xml:space="preserve">$790.55</t>
  </si>
  <si>
    <t xml:space="preserve">2026-02-27 08:19</t>
  </si>
  <si>
    <t xml:space="preserve">ORD00406</t>
  </si>
  <si>
    <t xml:space="preserve">18-Feb-2026</t>
  </si>
  <si>
    <t xml:space="preserve">$63.20</t>
  </si>
  <si>
    <t xml:space="preserve">2026-02-18 12:17</t>
  </si>
  <si>
    <t xml:space="preserve">ORD00251</t>
  </si>
  <si>
    <t xml:space="preserve">16-Mar-2026</t>
  </si>
  <si>
    <t xml:space="preserve">NGN 2,129.52</t>
  </si>
  <si>
    <t xml:space="preserve">2026-03-16 12:14</t>
  </si>
  <si>
    <t xml:space="preserve">ORD00268</t>
  </si>
  <si>
    <t xml:space="preserve">$ 95.47</t>
  </si>
  <si>
    <t xml:space="preserve">2026-04-11 18:36</t>
  </si>
  <si>
    <t xml:space="preserve">ORD00211</t>
  </si>
  <si>
    <t xml:space="preserve">FATIMA NNAMDI</t>
  </si>
  <si>
    <t xml:space="preserve">2026-06-23</t>
  </si>
  <si>
    <t xml:space="preserve">2325.86</t>
  </si>
  <si>
    <t xml:space="preserve">2026-06-23 14:29</t>
  </si>
  <si>
    <t xml:space="preserve">ORD00045</t>
  </si>
  <si>
    <t xml:space="preserve">1390.10</t>
  </si>
  <si>
    <t xml:space="preserve">2026-01-12 17:18</t>
  </si>
  <si>
    <t xml:space="preserve">ORD00425</t>
  </si>
  <si>
    <t xml:space="preserve">2,316.48</t>
  </si>
  <si>
    <t xml:space="preserve">2026-04-07 08:46</t>
  </si>
  <si>
    <t xml:space="preserve">ORD00284</t>
  </si>
  <si>
    <t xml:space="preserve">2026-02-06</t>
  </si>
  <si>
    <t xml:space="preserve">NGN 1,527.51</t>
  </si>
  <si>
    <t xml:space="preserve">2026-02-06 08:47</t>
  </si>
  <si>
    <t xml:space="preserve">ORD00296</t>
  </si>
  <si>
    <t xml:space="preserve">2026-07-05</t>
  </si>
  <si>
    <t xml:space="preserve">NGN 1,720.50</t>
  </si>
  <si>
    <t xml:space="preserve">2026-07-05 18:56</t>
  </si>
  <si>
    <t xml:space="preserve">ORD00447</t>
  </si>
  <si>
    <t xml:space="preserve">15-Jul-2026</t>
  </si>
  <si>
    <t xml:space="preserve">NGN 2,202.13</t>
  </si>
  <si>
    <t xml:space="preserve">2026-07-15 10:49</t>
  </si>
  <si>
    <t xml:space="preserve">ORD00504</t>
  </si>
  <si>
    <t xml:space="preserve">NGN 1,599.00</t>
  </si>
  <si>
    <t xml:space="preserve">2026-01-25 12:17</t>
  </si>
  <si>
    <t xml:space="preserve">ORD00327</t>
  </si>
  <si>
    <t xml:space="preserve">2026-04-26</t>
  </si>
  <si>
    <t xml:space="preserve">$ 358.38</t>
  </si>
  <si>
    <t xml:space="preserve">2026-04-26 13:45</t>
  </si>
  <si>
    <t xml:space="preserve">ORD00443</t>
  </si>
  <si>
    <t xml:space="preserve">2026-01-08</t>
  </si>
  <si>
    <t xml:space="preserve">2373.55</t>
  </si>
  <si>
    <t xml:space="preserve">2026-01-08 09:46</t>
  </si>
  <si>
    <t xml:space="preserve">ORD00310</t>
  </si>
  <si>
    <t xml:space="preserve">CUSTO016</t>
  </si>
  <si>
    <t xml:space="preserve">CHIDI AJAYI</t>
  </si>
  <si>
    <t xml:space="preserve">$385.62</t>
  </si>
  <si>
    <t xml:space="preserve">2026-05-27 12:41</t>
  </si>
  <si>
    <t xml:space="preserve">ORD00152</t>
  </si>
  <si>
    <t xml:space="preserve">$ 1,768.85</t>
  </si>
  <si>
    <t xml:space="preserve">2026-07-08 16:24</t>
  </si>
  <si>
    <t xml:space="preserve">ORD00414</t>
  </si>
  <si>
    <t xml:space="preserve">2026-07-07</t>
  </si>
  <si>
    <t xml:space="preserve">NGN 68.06</t>
  </si>
  <si>
    <t xml:space="preserve">2026-07-07 15:45</t>
  </si>
  <si>
    <t xml:space="preserve">ORD00176</t>
  </si>
  <si>
    <t xml:space="preserve">1,500.83</t>
  </si>
  <si>
    <t xml:space="preserve">2026-03-23 11:26</t>
  </si>
  <si>
    <t xml:space="preserve">ORD00088</t>
  </si>
  <si>
    <t xml:space="preserve">$1,005.84</t>
  </si>
  <si>
    <t xml:space="preserve">2026-03-28 10:43</t>
  </si>
  <si>
    <t xml:space="preserve">ORD00430</t>
  </si>
  <si>
    <t xml:space="preserve">2026-01-31</t>
  </si>
  <si>
    <t xml:space="preserve">$ 1,872.98</t>
  </si>
  <si>
    <t xml:space="preserve">2026-01-31 12:33</t>
  </si>
  <si>
    <t xml:space="preserve">ORD00500</t>
  </si>
  <si>
    <t xml:space="preserve">2026-04-05</t>
  </si>
  <si>
    <t xml:space="preserve">664.21</t>
  </si>
  <si>
    <t xml:space="preserve">2026-04-05 13:05</t>
  </si>
  <si>
    <t xml:space="preserve">ORD00239</t>
  </si>
  <si>
    <t xml:space="preserve">$985.97</t>
  </si>
  <si>
    <t xml:space="preserve">2026-05-18 08:15</t>
  </si>
  <si>
    <t xml:space="preserve">ORD00423</t>
  </si>
  <si>
    <t xml:space="preserve">02/04/2026</t>
  </si>
  <si>
    <t xml:space="preserve">NGN 1,760.84</t>
  </si>
  <si>
    <t xml:space="preserve">2026-04-02 16:21</t>
  </si>
  <si>
    <t xml:space="preserve">ORD00400</t>
  </si>
  <si>
    <t xml:space="preserve">$ 350.76</t>
  </si>
  <si>
    <t xml:space="preserve">2026-05-21 14:33</t>
  </si>
  <si>
    <t xml:space="preserve">ORD00144</t>
  </si>
  <si>
    <t xml:space="preserve">$35.32</t>
  </si>
  <si>
    <t xml:space="preserve">2026-03-15 14:23</t>
  </si>
  <si>
    <t xml:space="preserve">ORD00031</t>
  </si>
  <si>
    <t xml:space="preserve">2103.66</t>
  </si>
  <si>
    <t xml:space="preserve">2026-07-05 17:42</t>
  </si>
  <si>
    <t xml:space="preserve">ORD00292</t>
  </si>
  <si>
    <t xml:space="preserve">  Ibrahim Ajayi   </t>
  </si>
  <si>
    <t xml:space="preserve">02-Jul-2026</t>
  </si>
  <si>
    <t xml:space="preserve">NGN 1,068.16</t>
  </si>
  <si>
    <t xml:space="preserve">2026-07-02 12:43</t>
  </si>
  <si>
    <t xml:space="preserve">ORD00510</t>
  </si>
  <si>
    <t xml:space="preserve">2026-05-06</t>
  </si>
  <si>
    <t xml:space="preserve">1531.60</t>
  </si>
  <si>
    <t xml:space="preserve">2026-05-06 11:39</t>
  </si>
  <si>
    <t xml:space="preserve">ORD00066</t>
  </si>
  <si>
    <t xml:space="preserve">28/02/2026</t>
  </si>
  <si>
    <t xml:space="preserve">$1,093.42</t>
  </si>
  <si>
    <t xml:space="preserve">2026-02-28 10:44</t>
  </si>
  <si>
    <t xml:space="preserve">ORD00454</t>
  </si>
  <si>
    <t xml:space="preserve">NGN 2,260.63</t>
  </si>
  <si>
    <t xml:space="preserve">2026-01-14 09:11</t>
  </si>
  <si>
    <t xml:space="preserve">ORD00104</t>
  </si>
  <si>
    <t xml:space="preserve">CUSTO019</t>
  </si>
  <si>
    <t xml:space="preserve">$ 970.44</t>
  </si>
  <si>
    <t xml:space="preserve">2026-06-02 15:58</t>
  </si>
  <si>
    <t xml:space="preserve">ORD00139</t>
  </si>
  <si>
    <t xml:space="preserve">NGN 1,215.12</t>
  </si>
  <si>
    <t xml:space="preserve">2026-03-16 15:26</t>
  </si>
  <si>
    <t xml:space="preserve">ORD00324</t>
  </si>
  <si>
    <t xml:space="preserve"> CUST0022</t>
  </si>
  <si>
    <t xml:space="preserve">MUSA SANI</t>
  </si>
  <si>
    <t xml:space="preserve">2026-06-12</t>
  </si>
  <si>
    <t xml:space="preserve">NGN 321.20</t>
  </si>
  <si>
    <t xml:space="preserve">2026-06-12 15:00</t>
  </si>
  <si>
    <t xml:space="preserve">ORD00474</t>
  </si>
  <si>
    <t xml:space="preserve">NGOZI DURU</t>
  </si>
  <si>
    <t xml:space="preserve">2026-05-13</t>
  </si>
  <si>
    <t xml:space="preserve">$524.89</t>
  </si>
  <si>
    <t xml:space="preserve">2026-05-13 08:19</t>
  </si>
  <si>
    <t xml:space="preserve">ORD00369</t>
  </si>
  <si>
    <t xml:space="preserve">NGN 347.70</t>
  </si>
  <si>
    <t xml:space="preserve">2026-01-26 17:56</t>
  </si>
  <si>
    <t xml:space="preserve">ORD00235</t>
  </si>
  <si>
    <t xml:space="preserve">cust0042</t>
  </si>
  <si>
    <t xml:space="preserve">18-Jun-2026</t>
  </si>
  <si>
    <t xml:space="preserve">$ 525.53</t>
  </si>
  <si>
    <t xml:space="preserve">2026-06-18 11:31</t>
  </si>
  <si>
    <t xml:space="preserve">ORD00070</t>
  </si>
  <si>
    <t xml:space="preserve">2026-03-19</t>
  </si>
  <si>
    <t xml:space="preserve">NGN 2,498.44</t>
  </si>
  <si>
    <t xml:space="preserve">2026-03-19 12:44</t>
  </si>
  <si>
    <t xml:space="preserve">ORD00192</t>
  </si>
  <si>
    <t xml:space="preserve">1650.40</t>
  </si>
  <si>
    <t xml:space="preserve">2026-05-20 10:48</t>
  </si>
  <si>
    <t xml:space="preserve">ORD00199</t>
  </si>
  <si>
    <t xml:space="preserve">2026-02-13</t>
  </si>
  <si>
    <t xml:space="preserve">683.26</t>
  </si>
  <si>
    <t xml:space="preserve">2026-02-13 14:19</t>
  </si>
  <si>
    <t xml:space="preserve">ORD00511</t>
  </si>
  <si>
    <t xml:space="preserve"> CUST0042</t>
  </si>
  <si>
    <t xml:space="preserve">  Bisi Chukwu   </t>
  </si>
  <si>
    <t xml:space="preserve">27/01/2026</t>
  </si>
  <si>
    <t xml:space="preserve">$ 196.20</t>
  </si>
  <si>
    <t xml:space="preserve">2026-01-27 10:41</t>
  </si>
  <si>
    <t xml:space="preserve">ORD00111</t>
  </si>
  <si>
    <t xml:space="preserve">951.15</t>
  </si>
  <si>
    <t xml:space="preserve">2026-02-03 15:02</t>
  </si>
  <si>
    <t xml:space="preserve">ORD00075</t>
  </si>
  <si>
    <t xml:space="preserve">23-May-2026</t>
  </si>
  <si>
    <t xml:space="preserve">NGN 239.40</t>
  </si>
  <si>
    <t xml:space="preserve">2026-05-23 18:47</t>
  </si>
  <si>
    <t xml:space="preserve">ORD00224</t>
  </si>
  <si>
    <t xml:space="preserve">2026-03-12</t>
  </si>
  <si>
    <t xml:space="preserve">1758.04</t>
  </si>
  <si>
    <t xml:space="preserve">2026-03-12 18:25</t>
  </si>
  <si>
    <t xml:space="preserve">ORD00461</t>
  </si>
  <si>
    <t xml:space="preserve">CUSTO023</t>
  </si>
  <si>
    <t xml:space="preserve">04-Jun-2026</t>
  </si>
  <si>
    <t xml:space="preserve">$837.81</t>
  </si>
  <si>
    <t xml:space="preserve">2026-06-04 18:18</t>
  </si>
  <si>
    <t xml:space="preserve">ORD00440</t>
  </si>
  <si>
    <t xml:space="preserve">28/01/2026</t>
  </si>
  <si>
    <t xml:space="preserve">NGN 741.85</t>
  </si>
  <si>
    <t xml:space="preserve">2026-01-28 13:31</t>
  </si>
  <si>
    <t xml:space="preserve">ORD00300</t>
  </si>
  <si>
    <t xml:space="preserve">801.21</t>
  </si>
  <si>
    <t xml:space="preserve">2026-04-28 13:40</t>
  </si>
  <si>
    <t xml:space="preserve">ORD00242</t>
  </si>
  <si>
    <t xml:space="preserve"> CUST0058</t>
  </si>
  <si>
    <t xml:space="preserve">$ 668.43</t>
  </si>
  <si>
    <t xml:space="preserve">2026-05-15 08:31</t>
  </si>
  <si>
    <t xml:space="preserve">ORD00038</t>
  </si>
  <si>
    <t xml:space="preserve">2026-07-01</t>
  </si>
  <si>
    <t xml:space="preserve">$ 1,097.19</t>
  </si>
  <si>
    <t xml:space="preserve">2026-07-01 15:29</t>
  </si>
  <si>
    <t xml:space="preserve">ORD00482</t>
  </si>
  <si>
    <t xml:space="preserve">11/05/2026</t>
  </si>
  <si>
    <t xml:space="preserve">$1,023.13</t>
  </si>
  <si>
    <t xml:space="preserve">2026-05-11 16:29</t>
  </si>
  <si>
    <t xml:space="preserve">ORD00193</t>
  </si>
  <si>
    <t xml:space="preserve">20-Jan-2026</t>
  </si>
  <si>
    <t xml:space="preserve">418.69</t>
  </si>
  <si>
    <t xml:space="preserve">2026-01-20 13:24</t>
  </si>
  <si>
    <t xml:space="preserve">ORD00518</t>
  </si>
  <si>
    <t xml:space="preserve">2026-02-08</t>
  </si>
  <si>
    <t xml:space="preserve">$593.97</t>
  </si>
  <si>
    <t xml:space="preserve">2026-02-08 15:58</t>
  </si>
  <si>
    <t xml:space="preserve">ORD00378</t>
  </si>
  <si>
    <t xml:space="preserve">$ 1,819.45</t>
  </si>
  <si>
    <t xml:space="preserve">2026-05-21 11:38</t>
  </si>
  <si>
    <t xml:space="preserve">ORD00122</t>
  </si>
  <si>
    <t xml:space="preserve">NGN 2,452.34</t>
  </si>
  <si>
    <t xml:space="preserve">2026-07-19 08:18</t>
  </si>
  <si>
    <t xml:space="preserve">ORD00051</t>
  </si>
  <si>
    <t xml:space="preserve">2026-03-10</t>
  </si>
  <si>
    <t xml:space="preserve">192.45</t>
  </si>
  <si>
    <t xml:space="preserve">2026-03-10 12:28</t>
  </si>
  <si>
    <t xml:space="preserve">ORD00117</t>
  </si>
  <si>
    <t xml:space="preserve">02/01/2026</t>
  </si>
  <si>
    <t xml:space="preserve">62.22</t>
  </si>
  <si>
    <t xml:space="preserve">2026-01-02 16:27</t>
  </si>
  <si>
    <t xml:space="preserve">ORD00057</t>
  </si>
  <si>
    <t xml:space="preserve">1903.58</t>
  </si>
  <si>
    <t xml:space="preserve">2026-06-10 15:07</t>
  </si>
  <si>
    <t xml:space="preserve">ORD00399</t>
  </si>
  <si>
    <t xml:space="preserve">$2,098.72</t>
  </si>
  <si>
    <t xml:space="preserve">2026-02-03 15:29</t>
  </si>
  <si>
    <t xml:space="preserve">ORD00118</t>
  </si>
  <si>
    <t xml:space="preserve">NGN 133.66</t>
  </si>
  <si>
    <t xml:space="preserve">2026-03-19 15:38</t>
  </si>
  <si>
    <t xml:space="preserve">ORD00431</t>
  </si>
  <si>
    <t xml:space="preserve">08-Feb-2026</t>
  </si>
  <si>
    <t xml:space="preserve">1263.47</t>
  </si>
  <si>
    <t xml:space="preserve">2026-02-08 15:48</t>
  </si>
  <si>
    <t xml:space="preserve">ORD00347</t>
  </si>
  <si>
    <t xml:space="preserve">2188.80</t>
  </si>
  <si>
    <t xml:space="preserve">2026-01-03 16:35</t>
  </si>
  <si>
    <t xml:space="preserve">ORD00383</t>
  </si>
  <si>
    <t xml:space="preserve">  Kemi Sani   </t>
  </si>
  <si>
    <t xml:space="preserve">2026-02-25</t>
  </si>
  <si>
    <t xml:space="preserve">683.65</t>
  </si>
  <si>
    <t xml:space="preserve">2026-02-25 12:13</t>
  </si>
  <si>
    <t xml:space="preserve">ORD00102</t>
  </si>
  <si>
    <t xml:space="preserve">$ 1,130.53</t>
  </si>
  <si>
    <t xml:space="preserve">2026-07-14 10:28</t>
  </si>
  <si>
    <t xml:space="preserve">ORD00496</t>
  </si>
  <si>
    <t xml:space="preserve">2026-06-25</t>
  </si>
  <si>
    <t xml:space="preserve">1,998.27</t>
  </si>
  <si>
    <t xml:space="preserve">2026-06-25 15:29</t>
  </si>
  <si>
    <t xml:space="preserve">ORD00167</t>
  </si>
  <si>
    <t xml:space="preserve">1,327.51</t>
  </si>
  <si>
    <t xml:space="preserve">2026-05-15 16:12</t>
  </si>
  <si>
    <t xml:space="preserve">ORD00297</t>
  </si>
  <si>
    <t xml:space="preserve">$ 1,856.18</t>
  </si>
  <si>
    <t xml:space="preserve">2026-05-01 18:05</t>
  </si>
  <si>
    <t xml:space="preserve">ORD00304</t>
  </si>
  <si>
    <t xml:space="preserve">854.52</t>
  </si>
  <si>
    <t xml:space="preserve">2026-06-02 10:58</t>
  </si>
  <si>
    <t xml:space="preserve">ORD00228</t>
  </si>
  <si>
    <t xml:space="preserve">29/03/2026</t>
  </si>
  <si>
    <t xml:space="preserve">NGN 129.17</t>
  </si>
  <si>
    <t xml:space="preserve">2026-03-29 15:00</t>
  </si>
  <si>
    <t xml:space="preserve">ORD00370</t>
  </si>
  <si>
    <t xml:space="preserve">$1,451.30</t>
  </si>
  <si>
    <t xml:space="preserve">2026-01-02 13:26</t>
  </si>
  <si>
    <t xml:space="preserve">ORD00493</t>
  </si>
  <si>
    <t xml:space="preserve">22/05/2026</t>
  </si>
  <si>
    <t xml:space="preserve">-1</t>
  </si>
  <si>
    <t xml:space="preserve">971.02</t>
  </si>
  <si>
    <t xml:space="preserve">2026-05-22 11:45</t>
  </si>
  <si>
    <t xml:space="preserve">ORD00037</t>
  </si>
  <si>
    <t xml:space="preserve">$1,658.88</t>
  </si>
  <si>
    <t xml:space="preserve">2026-05-17 15:06</t>
  </si>
  <si>
    <t xml:space="preserve">ORD00060</t>
  </si>
  <si>
    <t xml:space="preserve">2026-05-11</t>
  </si>
  <si>
    <t xml:space="preserve">2,162.11</t>
  </si>
  <si>
    <t xml:space="preserve">2026-05-11 12:52</t>
  </si>
  <si>
    <t xml:space="preserve">ORD00264</t>
  </si>
  <si>
    <t xml:space="preserve">593.07</t>
  </si>
  <si>
    <t xml:space="preserve">2026-01-24 11:51</t>
  </si>
  <si>
    <t xml:space="preserve">ORD00249</t>
  </si>
  <si>
    <t xml:space="preserve">2026-01-27</t>
  </si>
  <si>
    <t xml:space="preserve">1331.59</t>
  </si>
  <si>
    <t xml:space="preserve">2026-01-27 12:05</t>
  </si>
  <si>
    <t xml:space="preserve">ORD00015</t>
  </si>
  <si>
    <t xml:space="preserve">NGN 567.75</t>
  </si>
  <si>
    <t xml:space="preserve">2026-01-10 11:01</t>
  </si>
  <si>
    <t xml:space="preserve">ORD00403</t>
  </si>
  <si>
    <t xml:space="preserve">$ 1,994.97</t>
  </si>
  <si>
    <t xml:space="preserve">2026-06-02 14:15</t>
  </si>
  <si>
    <t xml:space="preserve">ORD00081</t>
  </si>
  <si>
    <t xml:space="preserve">2026-03-27</t>
  </si>
  <si>
    <t xml:space="preserve">$ 2,472.22</t>
  </si>
  <si>
    <t xml:space="preserve">2026-03-27 17:13</t>
  </si>
  <si>
    <t xml:space="preserve">ORD00465</t>
  </si>
  <si>
    <t xml:space="preserve">894.33</t>
  </si>
  <si>
    <t xml:space="preserve">2026-05-28 15:51</t>
  </si>
  <si>
    <t xml:space="preserve">ORD00276</t>
  </si>
  <si>
    <t xml:space="preserve">2,238.77</t>
  </si>
  <si>
    <t xml:space="preserve">2026-05-01 14:23</t>
  </si>
  <si>
    <t xml:space="preserve">ORD00027</t>
  </si>
  <si>
    <t xml:space="preserve">  Bisi Ajayi   </t>
  </si>
  <si>
    <t xml:space="preserve">2026-07-16</t>
  </si>
  <si>
    <t xml:space="preserve">1219.22</t>
  </si>
  <si>
    <t xml:space="preserve">2026-07-16 12:21</t>
  </si>
  <si>
    <t xml:space="preserve">ORD00380</t>
  </si>
  <si>
    <t xml:space="preserve">  Mary Adeyemi   </t>
  </si>
  <si>
    <t xml:space="preserve">NGN 636.60</t>
  </si>
  <si>
    <t xml:space="preserve">2026-05-18 15:43</t>
  </si>
  <si>
    <t xml:space="preserve">ORD00054</t>
  </si>
  <si>
    <t xml:space="preserve">2291.44</t>
  </si>
  <si>
    <t xml:space="preserve">2026-05-13 15:22</t>
  </si>
  <si>
    <t xml:space="preserve">ORD00515</t>
  </si>
  <si>
    <t xml:space="preserve">NGN 757.69</t>
  </si>
  <si>
    <t xml:space="preserve">2026-06-19 18:28</t>
  </si>
  <si>
    <t xml:space="preserve">ORD00233</t>
  </si>
  <si>
    <t xml:space="preserve">CUSTO010</t>
  </si>
  <si>
    <t xml:space="preserve">2026-06-16</t>
  </si>
  <si>
    <t xml:space="preserve">1108.65</t>
  </si>
  <si>
    <t xml:space="preserve">2026-06-16 18:28</t>
  </si>
  <si>
    <t xml:space="preserve">ORD00389</t>
  </si>
  <si>
    <t xml:space="preserve">2026-05-27</t>
  </si>
  <si>
    <t xml:space="preserve">2448.49</t>
  </si>
  <si>
    <t xml:space="preserve">2026-05-27 16:27</t>
  </si>
  <si>
    <t xml:space="preserve">ORD00413</t>
  </si>
  <si>
    <t xml:space="preserve">cust0032</t>
  </si>
  <si>
    <t xml:space="preserve">16-Jan-2026</t>
  </si>
  <si>
    <t xml:space="preserve">$ 1,616.77</t>
  </si>
  <si>
    <t xml:space="preserve">2026-01-16 16:50</t>
  </si>
  <si>
    <t xml:space="preserve">ORD00316</t>
  </si>
  <si>
    <t xml:space="preserve">571.60</t>
  </si>
  <si>
    <t xml:space="preserve">2026-07-05 14:42</t>
  </si>
  <si>
    <t xml:space="preserve">ORD00172</t>
  </si>
  <si>
    <t xml:space="preserve">$ 309.80</t>
  </si>
  <si>
    <t xml:space="preserve">2026-06-17 08:48</t>
  </si>
  <si>
    <t xml:space="preserve">ORD00129</t>
  </si>
  <si>
    <t xml:space="preserve">04/04/2026</t>
  </si>
  <si>
    <t xml:space="preserve">796.25</t>
  </si>
  <si>
    <t xml:space="preserve">2026-04-04 15:33</t>
  </si>
  <si>
    <t xml:space="preserve">ORD00223</t>
  </si>
  <si>
    <t xml:space="preserve">  Samuel Lawal   </t>
  </si>
  <si>
    <t xml:space="preserve">30-Jun-2026</t>
  </si>
  <si>
    <t xml:space="preserve">733.99</t>
  </si>
  <si>
    <t xml:space="preserve">2026-06-30 10:48</t>
  </si>
  <si>
    <t xml:space="preserve">ORD00108</t>
  </si>
  <si>
    <t xml:space="preserve">joy nwosu</t>
  </si>
  <si>
    <t xml:space="preserve">NGN 2,419.73</t>
  </si>
  <si>
    <t xml:space="preserve">2026-03-31 16:24</t>
  </si>
  <si>
    <t xml:space="preserve">ORD00146</t>
  </si>
  <si>
    <t xml:space="preserve">02/02/2026</t>
  </si>
  <si>
    <t xml:space="preserve">993.85</t>
  </si>
  <si>
    <t xml:space="preserve">2026-02-02 17:32</t>
  </si>
  <si>
    <t xml:space="preserve">ORD00187</t>
  </si>
  <si>
    <t xml:space="preserve">MUSA ABUBAKAR</t>
  </si>
  <si>
    <t xml:space="preserve">NGN 2,283.19</t>
  </si>
  <si>
    <t xml:space="preserve">2026-06-08 14:00</t>
  </si>
  <si>
    <t xml:space="preserve">ORD00331</t>
  </si>
  <si>
    <t xml:space="preserve">26-Jun-2026</t>
  </si>
  <si>
    <t xml:space="preserve">$ 521.94</t>
  </si>
  <si>
    <t xml:space="preserve">2026-06-26 18:47</t>
  </si>
  <si>
    <t xml:space="preserve">ORD00475</t>
  </si>
  <si>
    <t xml:space="preserve">CUSTO060</t>
  </si>
  <si>
    <t xml:space="preserve">30/04/2026</t>
  </si>
  <si>
    <t xml:space="preserve">271.21</t>
  </si>
  <si>
    <t xml:space="preserve">2026-04-30 13:12</t>
  </si>
  <si>
    <t xml:space="preserve">ORD00023</t>
  </si>
  <si>
    <t xml:space="preserve">NGN 623.43</t>
  </si>
  <si>
    <t xml:space="preserve">2026-01-07 18:36</t>
  </si>
  <si>
    <t xml:space="preserve">ORD00082</t>
  </si>
  <si>
    <t xml:space="preserve">  Comfort Adeyemi   </t>
  </si>
  <si>
    <t xml:space="preserve">$ 1,974.78</t>
  </si>
  <si>
    <t xml:space="preserve">2026-07-18 16:16</t>
  </si>
  <si>
    <t xml:space="preserve">ORD00091</t>
  </si>
  <si>
    <t xml:space="preserve">2,115.75</t>
  </si>
  <si>
    <t xml:space="preserve">2026-01-28 16:49</t>
  </si>
  <si>
    <t xml:space="preserve">ORD00255</t>
  </si>
  <si>
    <t xml:space="preserve">1163.18</t>
  </si>
  <si>
    <t xml:space="preserve">2026-03-05 10:12</t>
  </si>
  <si>
    <t xml:space="preserve">ORD00243</t>
  </si>
  <si>
    <t xml:space="preserve">10-Feb-2026</t>
  </si>
  <si>
    <t xml:space="preserve">$ 1,936.72</t>
  </si>
  <si>
    <t xml:space="preserve">2026-02-10 08:02</t>
  </si>
  <si>
    <t xml:space="preserve">ORD00467</t>
  </si>
  <si>
    <t xml:space="preserve">12-Jan-2026</t>
  </si>
  <si>
    <t xml:space="preserve">883.88</t>
  </si>
  <si>
    <t xml:space="preserve">2026-01-12 09:19</t>
  </si>
  <si>
    <t xml:space="preserve">ORD00433</t>
  </si>
  <si>
    <t xml:space="preserve">09/05/2026</t>
  </si>
  <si>
    <t xml:space="preserve">1937.96</t>
  </si>
  <si>
    <t xml:space="preserve">2026-05-09 14:41</t>
  </si>
  <si>
    <t xml:space="preserve">ORD00351</t>
  </si>
  <si>
    <t xml:space="preserve">  James Uche   </t>
  </si>
  <si>
    <t xml:space="preserve">$ 393.70</t>
  </si>
  <si>
    <t xml:space="preserve">2026-06-27 08:20</t>
  </si>
  <si>
    <t xml:space="preserve">ORD00077</t>
  </si>
  <si>
    <t xml:space="preserve">12/06/2026</t>
  </si>
  <si>
    <t xml:space="preserve">2,274.83</t>
  </si>
  <si>
    <t xml:space="preserve">2026-06-12 12:31</t>
  </si>
  <si>
    <t xml:space="preserve">ORD00408</t>
  </si>
  <si>
    <t xml:space="preserve">2026-01-21</t>
  </si>
  <si>
    <t xml:space="preserve">NGN 154.26</t>
  </si>
  <si>
    <t xml:space="preserve">2026-01-21 14:53</t>
  </si>
  <si>
    <t xml:space="preserve">ORD00058</t>
  </si>
  <si>
    <t xml:space="preserve">$787.21</t>
  </si>
  <si>
    <t xml:space="preserve">2026-03-03 15:07</t>
  </si>
  <si>
    <t xml:space="preserve">ORD00100</t>
  </si>
  <si>
    <t xml:space="preserve">cust0034</t>
  </si>
  <si>
    <t xml:space="preserve">  Samuel Sani   </t>
  </si>
  <si>
    <t xml:space="preserve">26-Feb-2026</t>
  </si>
  <si>
    <t xml:space="preserve">$1,951.11</t>
  </si>
  <si>
    <t xml:space="preserve">2026-02-26 13:22</t>
  </si>
  <si>
    <t xml:space="preserve">ORD00028</t>
  </si>
  <si>
    <t xml:space="preserve">589.68</t>
  </si>
  <si>
    <t xml:space="preserve">2026-02-05 16:29</t>
  </si>
  <si>
    <t xml:space="preserve">ORD00142</t>
  </si>
  <si>
    <t xml:space="preserve">yusuf chukwu</t>
  </si>
  <si>
    <t xml:space="preserve">1807.00</t>
  </si>
  <si>
    <t xml:space="preserve">2026-03-25 15:56</t>
  </si>
  <si>
    <t xml:space="preserve">ORD00107</t>
  </si>
  <si>
    <t xml:space="preserve">$178.79</t>
  </si>
  <si>
    <t xml:space="preserve">2026-01-14 10:21</t>
  </si>
  <si>
    <t xml:space="preserve">ORD00338</t>
  </si>
  <si>
    <t xml:space="preserve">19-Jun-2026</t>
  </si>
  <si>
    <t xml:space="preserve">837.70</t>
  </si>
  <si>
    <t xml:space="preserve">2026-06-19 16:52</t>
  </si>
  <si>
    <t xml:space="preserve">ORD00321</t>
  </si>
  <si>
    <t xml:space="preserve">2026-03-26</t>
  </si>
  <si>
    <t xml:space="preserve">$ 1,922.03</t>
  </si>
  <si>
    <t xml:space="preserve">2026-03-26 09:06</t>
  </si>
  <si>
    <t xml:space="preserve">ORD00395</t>
  </si>
  <si>
    <t xml:space="preserve">868.91</t>
  </si>
  <si>
    <t xml:space="preserve">2026-01-21 18:25</t>
  </si>
  <si>
    <t xml:space="preserve">ORD00238</t>
  </si>
  <si>
    <t xml:space="preserve">NGN 1,067.58</t>
  </si>
  <si>
    <t xml:space="preserve">2026-07-16 12:05</t>
  </si>
  <si>
    <t xml:space="preserve">ORD00113</t>
  </si>
  <si>
    <t xml:space="preserve">$ 1,948.64</t>
  </si>
  <si>
    <t xml:space="preserve">2026-04-29 17:08</t>
  </si>
  <si>
    <t xml:space="preserve">ORD00260</t>
  </si>
  <si>
    <t xml:space="preserve">NGN 1,207.02</t>
  </si>
  <si>
    <t xml:space="preserve">2026-04-08 12:11</t>
  </si>
  <si>
    <t xml:space="preserve">ORD00277</t>
  </si>
  <si>
    <t xml:space="preserve">23/04/2026</t>
  </si>
  <si>
    <t xml:space="preserve">669.55</t>
  </si>
  <si>
    <t xml:space="preserve">2026-04-23 09:42</t>
  </si>
  <si>
    <t xml:space="preserve">ORD00390</t>
  </si>
  <si>
    <t xml:space="preserve">2026-07-09</t>
  </si>
  <si>
    <t xml:space="preserve">$1,190.37</t>
  </si>
  <si>
    <t xml:space="preserve">2026-07-09 16:46</t>
  </si>
  <si>
    <t xml:space="preserve">ORD00442</t>
  </si>
  <si>
    <t xml:space="preserve">musa sani</t>
  </si>
  <si>
    <t xml:space="preserve">05-Jan-2026</t>
  </si>
  <si>
    <t xml:space="preserve">1,715.51</t>
  </si>
  <si>
    <t xml:space="preserve">2026-01-05 12:51</t>
  </si>
  <si>
    <t xml:space="preserve">ORD00186</t>
  </si>
  <si>
    <t xml:space="preserve">21/06/2026</t>
  </si>
  <si>
    <t xml:space="preserve">NGN 1,914.38</t>
  </si>
  <si>
    <t xml:space="preserve">2026-06-21 08:13</t>
  </si>
  <si>
    <t xml:space="preserve">ORD00317</t>
  </si>
  <si>
    <t xml:space="preserve">19/06/2026</t>
  </si>
  <si>
    <t xml:space="preserve">$ 384.41</t>
  </si>
  <si>
    <t xml:space="preserve">2026-06-19 16:54</t>
  </si>
  <si>
    <t xml:space="preserve">ORD00049</t>
  </si>
  <si>
    <t xml:space="preserve">JOY EZE</t>
  </si>
  <si>
    <t xml:space="preserve">2026-02-10</t>
  </si>
  <si>
    <t xml:space="preserve">$446.93</t>
  </si>
  <si>
    <t xml:space="preserve">2026-02-10 17:30</t>
  </si>
  <si>
    <t xml:space="preserve">ORD00272</t>
  </si>
  <si>
    <t xml:space="preserve">CUSTO055</t>
  </si>
  <si>
    <t xml:space="preserve">08/03/2026</t>
  </si>
  <si>
    <t xml:space="preserve">199.39</t>
  </si>
  <si>
    <t xml:space="preserve">2026-03-08 13:38</t>
  </si>
  <si>
    <t xml:space="preserve">ORD00061</t>
  </si>
  <si>
    <t xml:space="preserve">  Ola Lawal   </t>
  </si>
  <si>
    <t xml:space="preserve">2026-05-31</t>
  </si>
  <si>
    <t xml:space="preserve">NGN 2,497.27</t>
  </si>
  <si>
    <t xml:space="preserve">2026-05-31 13:35</t>
  </si>
  <si>
    <t xml:space="preserve">ORD00099</t>
  </si>
  <si>
    <t xml:space="preserve">cust0026</t>
  </si>
  <si>
    <t xml:space="preserve">08/06/2026</t>
  </si>
  <si>
    <t xml:space="preserve">2,082.58</t>
  </si>
  <si>
    <t xml:space="preserve">2026-06-08 17:25</t>
  </si>
  <si>
    <t xml:space="preserve">ORD00121</t>
  </si>
  <si>
    <t xml:space="preserve">2026-03-30</t>
  </si>
  <si>
    <t xml:space="preserve">$1,836.36</t>
  </si>
  <si>
    <t xml:space="preserve">2026-03-30 08:22</t>
  </si>
  <si>
    <t xml:space="preserve">ORD00286</t>
  </si>
  <si>
    <t xml:space="preserve">18-Jul-2026</t>
  </si>
  <si>
    <t xml:space="preserve">NGN 684.51</t>
  </si>
  <si>
    <t xml:space="preserve">2026-07-18 14:47</t>
  </si>
  <si>
    <t xml:space="preserve">ORD00003</t>
  </si>
  <si>
    <t xml:space="preserve">$ 723.84</t>
  </si>
  <si>
    <t xml:space="preserve">2026-07-20 11:03</t>
  </si>
  <si>
    <t xml:space="preserve">ORD00215</t>
  </si>
  <si>
    <t xml:space="preserve">  Emeka Yakubu   </t>
  </si>
  <si>
    <t xml:space="preserve">225.61</t>
  </si>
  <si>
    <t xml:space="preserve">2026-06-07 13:44</t>
  </si>
  <si>
    <t xml:space="preserve">ORD00512</t>
  </si>
  <si>
    <t xml:space="preserve">CUSTO041</t>
  </si>
  <si>
    <t xml:space="preserve">NGN 1,754.64</t>
  </si>
  <si>
    <t xml:space="preserve">2026-03-10 15:27</t>
  </si>
  <si>
    <t xml:space="preserve">ORD00155</t>
  </si>
  <si>
    <t xml:space="preserve">12-Apr-2026</t>
  </si>
  <si>
    <t xml:space="preserve">2387.20</t>
  </si>
  <si>
    <t xml:space="preserve">2026-04-12 13:59</t>
  </si>
  <si>
    <t xml:space="preserve">ORD00401</t>
  </si>
  <si>
    <t xml:space="preserve">30/03/2026</t>
  </si>
  <si>
    <t xml:space="preserve">$1,356.08</t>
  </si>
  <si>
    <t xml:space="preserve">ORD00424</t>
  </si>
  <si>
    <t xml:space="preserve">24-Apr-2026</t>
  </si>
  <si>
    <t xml:space="preserve">$ 2,257.68</t>
  </si>
  <si>
    <t xml:space="preserve">2026-04-24 13:38</t>
  </si>
  <si>
    <t xml:space="preserve">ORD00322</t>
  </si>
  <si>
    <t xml:space="preserve">29-Mar-2026</t>
  </si>
  <si>
    <t xml:space="preserve">2,077.26</t>
  </si>
  <si>
    <t xml:space="preserve">2026-03-29 10:31</t>
  </si>
  <si>
    <t xml:space="preserve">ORD00046</t>
  </si>
  <si>
    <t xml:space="preserve">NGN 642.41</t>
  </si>
  <si>
    <t xml:space="preserve">2026-02-17 17:40</t>
  </si>
  <si>
    <t xml:space="preserve">ORD00487</t>
  </si>
  <si>
    <t xml:space="preserve">1126.19</t>
  </si>
  <si>
    <t xml:space="preserve">2026-06-07 14:45</t>
  </si>
  <si>
    <t xml:space="preserve">ORD00314</t>
  </si>
  <si>
    <t xml:space="preserve">NGN 2,279.40</t>
  </si>
  <si>
    <t xml:space="preserve">2026-01-27 14:49</t>
  </si>
  <si>
    <t xml:space="preserve">ORD00256</t>
  </si>
  <si>
    <t xml:space="preserve">$658.17</t>
  </si>
  <si>
    <t xml:space="preserve">2026-05-30 10:05</t>
  </si>
  <si>
    <t xml:space="preserve">ORD00368</t>
  </si>
  <si>
    <t xml:space="preserve"> CUST0053</t>
  </si>
  <si>
    <t xml:space="preserve">$ 2,188.94</t>
  </si>
  <si>
    <t xml:space="preserve">2026-04-18 13:37</t>
  </si>
  <si>
    <t xml:space="preserve">ORD00093</t>
  </si>
  <si>
    <t xml:space="preserve">$187.92</t>
  </si>
  <si>
    <t xml:space="preserve">2026-05-25 15:21</t>
  </si>
  <si>
    <t xml:space="preserve">ORD00306</t>
  </si>
  <si>
    <t xml:space="preserve">07-Apr-2026</t>
  </si>
  <si>
    <t xml:space="preserve">$ 1,931.56</t>
  </si>
  <si>
    <t xml:space="preserve">2026-04-07 18:53</t>
  </si>
  <si>
    <t xml:space="preserve">ORD00020</t>
  </si>
  <si>
    <t xml:space="preserve">NGN 1,667.35</t>
  </si>
  <si>
    <t xml:space="preserve">2026-02-19 12:25</t>
  </si>
  <si>
    <t xml:space="preserve">ORD00355</t>
  </si>
  <si>
    <t xml:space="preserve">$ 2,230.22</t>
  </si>
  <si>
    <t xml:space="preserve">2026-04-11 16:05</t>
  </si>
  <si>
    <t xml:space="preserve">ORD00313</t>
  </si>
  <si>
    <t xml:space="preserve">NGN 1,729.41</t>
  </si>
  <si>
    <t xml:space="preserve">2026-03-11 09:08</t>
  </si>
  <si>
    <t xml:space="preserve">ORD00179</t>
  </si>
  <si>
    <t xml:space="preserve">348.22</t>
  </si>
  <si>
    <t xml:space="preserve">2026-05-23 13:05</t>
  </si>
  <si>
    <t xml:space="preserve">ORD00245</t>
  </si>
  <si>
    <t xml:space="preserve">$689.08</t>
  </si>
  <si>
    <t xml:space="preserve">ORD00422</t>
  </si>
  <si>
    <t xml:space="preserve">2026-02-18</t>
  </si>
  <si>
    <t xml:space="preserve">1322.59</t>
  </si>
  <si>
    <t xml:space="preserve">2026-02-18 14:47</t>
  </si>
  <si>
    <t xml:space="preserve">ORD00462</t>
  </si>
  <si>
    <t xml:space="preserve">NGN 455.89</t>
  </si>
  <si>
    <t xml:space="preserve">2026-05-27 12:20</t>
  </si>
  <si>
    <t xml:space="preserve">ORD00278</t>
  </si>
  <si>
    <t xml:space="preserve">$580.37</t>
  </si>
  <si>
    <t xml:space="preserve">2026-07-13 18:55</t>
  </si>
  <si>
    <t xml:space="preserve">ORD00147</t>
  </si>
  <si>
    <t xml:space="preserve">2026-01-10</t>
  </si>
  <si>
    <t xml:space="preserve">NGN 1,788.28</t>
  </si>
  <si>
    <t xml:space="preserve">2026-01-10 10:20</t>
  </si>
  <si>
    <t xml:space="preserve">ORD00212</t>
  </si>
  <si>
    <t xml:space="preserve">$ 998.02</t>
  </si>
  <si>
    <t xml:space="preserve">2026-02-17 11:13</t>
  </si>
  <si>
    <t xml:space="preserve">ORD00130</t>
  </si>
  <si>
    <t xml:space="preserve">FATIMA OKAFOR</t>
  </si>
  <si>
    <t xml:space="preserve">1764.53</t>
  </si>
  <si>
    <t xml:space="preserve">2026-03-09 11:07</t>
  </si>
  <si>
    <t xml:space="preserve">ORD00488</t>
  </si>
  <si>
    <t xml:space="preserve">$ 1,534.55</t>
  </si>
  <si>
    <t xml:space="preserve">2026-05-30 13:57</t>
  </si>
  <si>
    <t xml:space="preserve">ORD00427</t>
  </si>
  <si>
    <t xml:space="preserve">$ 1,397.46</t>
  </si>
  <si>
    <t xml:space="preserve">2026-05-22 10:16</t>
  </si>
  <si>
    <t xml:space="preserve">ORD00291</t>
  </si>
  <si>
    <t xml:space="preserve">16/06/2026</t>
  </si>
  <si>
    <t xml:space="preserve">$1,290.50</t>
  </si>
  <si>
    <t xml:space="preserve">2026-06-16 08:14</t>
  </si>
  <si>
    <t xml:space="preserve">ORD00092</t>
  </si>
  <si>
    <t xml:space="preserve">2,323.77</t>
  </si>
  <si>
    <t xml:space="preserve">2026-01-07 13:22</t>
  </si>
  <si>
    <t xml:space="preserve">ORD00184</t>
  </si>
  <si>
    <t xml:space="preserve"> CUST0010</t>
  </si>
  <si>
    <t xml:space="preserve">NGN 834.72</t>
  </si>
  <si>
    <t xml:space="preserve">2026-02-09 12:48</t>
  </si>
  <si>
    <t xml:space="preserve">ORD00008</t>
  </si>
  <si>
    <t xml:space="preserve">joy eze</t>
  </si>
  <si>
    <t xml:space="preserve">31/03/2026</t>
  </si>
  <si>
    <t xml:space="preserve">2,199.99</t>
  </si>
  <si>
    <t xml:space="preserve">2026-03-31 17:51</t>
  </si>
  <si>
    <t xml:space="preserve">ORD00007</t>
  </si>
  <si>
    <t xml:space="preserve">  Ngozi Sani   </t>
  </si>
  <si>
    <t xml:space="preserve">28-Apr-2026</t>
  </si>
  <si>
    <t xml:space="preserve">$2,323.61</t>
  </si>
  <si>
    <t xml:space="preserve">2026-04-28 09:34</t>
  </si>
  <si>
    <t xml:space="preserve">ORD00083</t>
  </si>
  <si>
    <t xml:space="preserve">905.23</t>
  </si>
  <si>
    <t xml:space="preserve">2026-02-03 10:47</t>
  </si>
  <si>
    <t xml:space="preserve">ORD00499</t>
  </si>
  <si>
    <t xml:space="preserve">CUSTO032</t>
  </si>
  <si>
    <t xml:space="preserve">1,545.26</t>
  </si>
  <si>
    <t xml:space="preserve">2026-03-06 10:58</t>
  </si>
  <si>
    <t xml:space="preserve">ORD00017</t>
  </si>
  <si>
    <t xml:space="preserve">2026-02-15</t>
  </si>
  <si>
    <t xml:space="preserve">2,406.90</t>
  </si>
  <si>
    <t xml:space="preserve">2026-02-15 14:38</t>
  </si>
  <si>
    <t xml:space="preserve">ORD00162</t>
  </si>
  <si>
    <t xml:space="preserve">2026-05-26</t>
  </si>
  <si>
    <t xml:space="preserve">NGN 451.10</t>
  </si>
  <si>
    <t xml:space="preserve">2026-05-26 18:06</t>
  </si>
  <si>
    <t xml:space="preserve">ORD00386</t>
  </si>
  <si>
    <t xml:space="preserve">NGN 2,001.19</t>
  </si>
  <si>
    <t xml:space="preserve">2026-01-14 15:07</t>
  </si>
  <si>
    <t xml:space="preserve">ORD00103</t>
  </si>
  <si>
    <t xml:space="preserve">$ 154.59</t>
  </si>
  <si>
    <t xml:space="preserve">2026-03-12 13:53</t>
  </si>
  <si>
    <t xml:space="preserve">ORD00137</t>
  </si>
  <si>
    <t xml:space="preserve">2026-06-14</t>
  </si>
  <si>
    <t xml:space="preserve">$ 1,485.64</t>
  </si>
  <si>
    <t xml:space="preserve">2026-06-14 13:53</t>
  </si>
  <si>
    <t xml:space="preserve">ORD00042</t>
  </si>
  <si>
    <t xml:space="preserve">$ 775.92</t>
  </si>
  <si>
    <t xml:space="preserve">2026-06-27 16:21</t>
  </si>
  <si>
    <t xml:space="preserve">ORD00250</t>
  </si>
  <si>
    <t xml:space="preserve">16-Apr-2026</t>
  </si>
  <si>
    <t xml:space="preserve">$1,154.27</t>
  </si>
  <si>
    <t xml:space="preserve">2026-04-16 09:37</t>
  </si>
  <si>
    <t xml:space="preserve">Cleaned, Validated &amp; Reconciled Orders</t>
  </si>
  <si>
    <t xml:space="preserve">Every value below is a live formula pulling from Orders_Raw and Customer_Master</t>
  </si>
  <si>
    <t xml:space="preserve">Clean CustomerID</t>
  </si>
  <si>
    <t xml:space="preserve">Clean Name</t>
  </si>
  <si>
    <t xml:space="preserve">Parsed Date</t>
  </si>
  <si>
    <t xml:space="preserve">Date Valid?</t>
  </si>
  <si>
    <t xml:space="preserve">Clean Amount</t>
  </si>
  <si>
    <t xml:space="preserve">Amount Valid?</t>
  </si>
  <si>
    <t xml:space="preserve">Qty Valid?</t>
  </si>
  <si>
    <t xml:space="preserve">Entry Timestamp</t>
  </si>
  <si>
    <t xml:space="preserve">Duplicate OrderID?</t>
  </si>
  <si>
    <t xml:space="preserve">Near-Duplicate?</t>
  </si>
  <si>
    <t xml:space="preserve">Master Name</t>
  </si>
  <si>
    <t xml:space="preserve">Match Status</t>
  </si>
  <si>
    <t xml:space="preserve">Overall Status</t>
  </si>
  <si>
    <t xml:space="preserve">Data Reconciliation &amp; Quality Dashboard</t>
  </si>
  <si>
    <t xml:space="preserve">Live summary of order volume, data quality, and revenue reconciliation</t>
  </si>
  <si>
    <t xml:space="preserve">Total Orders</t>
  </si>
  <si>
    <t xml:space="preserve">Needs Review</t>
  </si>
  <si>
    <t xml:space="preserve">Clean (OK)</t>
  </si>
  <si>
    <t xml:space="preserve">Error Rate (%)</t>
  </si>
  <si>
    <t xml:space="preserve">Duplicate Orders</t>
  </si>
  <si>
    <t xml:space="preserve">Unmatched Customers</t>
  </si>
  <si>
    <t xml:space="preserve">Invalid Dates</t>
  </si>
  <si>
    <t xml:space="preserve">Invalid Amounts</t>
  </si>
  <si>
    <t xml:space="preserve">Revenue by Region (matched &amp; valid orders only)</t>
  </si>
  <si>
    <t xml:space="preserve">Total Revenue</t>
  </si>
  <si>
    <t xml:space="preserve">Order Count</t>
  </si>
  <si>
    <t xml:space="preserve">Entry Audit Log</t>
  </si>
  <si>
    <t xml:space="preserve">Tracks when order records were entered into the system, by month</t>
  </si>
  <si>
    <t xml:space="preserve">Month</t>
  </si>
  <si>
    <t xml:space="preserve">Orders Entered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</si>
  <si>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</si>
  <si>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</si>
  <si>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</si>
  <si>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</si>
  <si>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</si>
  <si>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</si>
  <si>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</si>
  <si>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Project: Advanced Multi-Source Data Reconciliation &amp; Reporting System</t>
  </si>
  <si>
    <t xml:space="preserve">Overview:</t>
  </si>
  <si>
    <t xml:space="preserve">This project simulates reconciling 535 real-world messy order entries against a</t>
  </si>
  <si>
    <t xml:space="preserve">clean 60-customer master list — a common data entry task when records are entered by</t>
  </si>
  <si>
    <t xml:space="preserve">different people, systems, or channels and need to be checked, matched, and cleaned</t>
  </si>
  <si>
    <t xml:space="preserve">before reporting.</t>
  </si>
  <si>
    <t xml:space="preserve">What it includes:</t>
  </si>
  <si>
    <t xml:space="preserve">1. Orders_Raw — raw, unedited order data containing realistic entry errors: inconsistent</t>
  </si>
  <si>
    <t xml:space="preserve">   capitalization/spacing, three different date formats, mixed currency formatting</t>
  </si>
  <si>
    <t xml:space="preserve">   ($, NGN, plain), typo'd customer IDs, missing/negative quantities, and duplicate</t>
  </si>
  <si>
    <t xml:space="preserve">   re-entries.</t>
  </si>
  <si>
    <t xml:space="preserve">2. Customer_Master — the clean authoritative reference list used for reconciliation.</t>
  </si>
  <si>
    <t xml:space="preserve">3. Cleaned_Orders — fully formula-driven cleaning and validation: standardizes names</t>
  </si>
  <si>
    <t xml:space="preserve">   and IDs (TRIM/UPPER/PROPER), parses inconsistent dates (DATEVALUE + IFERROR),</t>
  </si>
  <si>
    <t xml:space="preserve">   strips currency symbols to numeric values, validates quantities, flags exact and</t>
  </si>
  <si>
    <t xml:space="preserve">   near-duplicate entries, and reconciles each order against Customer_Master using</t>
  </si>
  <si>
    <t xml:space="preserve">   INDEX/MATCH.</t>
  </si>
  <si>
    <t xml:space="preserve">4. Dashboard — live KPIs (total orders, error rate, duplicates, unmatched customers)</t>
  </si>
  <si>
    <t xml:space="preserve">   plus a revenue-by-region breakdown built with SUMIFS/COUNTIFS and a chart.</t>
  </si>
  <si>
    <t xml:space="preserve">5. Entry_Log — a simple audit trail showing order entry volume by month.</t>
  </si>
  <si>
    <t xml:space="preserve">Tools used: Excel/Google Sheets formulas — INDEX, MATCH, IFERROR, TRIM, PROPER, UPPER,</t>
  </si>
  <si>
    <t xml:space="preserve">SUBSTITUTE, VALUE, DATEVALUE, COUNTIF, COUNTIFS, SUMIFS — plus data validation and</t>
  </si>
  <si>
    <t xml:space="preserve">conditional formatting.</t>
  </si>
  <si>
    <t xml:space="preserve">Result: 535 raw order records were cleaned and reconciled against the customer</t>
  </si>
  <si>
    <t xml:space="preserve">master list. The system automatically identified invalid dates, invalid amounts,</t>
  </si>
  <si>
    <t xml:space="preserve">invalid quantities, duplicate order entries, and customer records that could not be</t>
  </si>
  <si>
    <t xml:space="preserve">matched — turning an unreliable raw feed into a report-ready dataset without manual</t>
  </si>
  <si>
    <t xml:space="preserve">row-by-row checking.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</si>
</sst>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Dashboard!$A$14:$A$21</c:f>
              <c:strCache>
                <c:ptCount val="8"/>
                <c:pt idx="0">
                  <c:v>Abuja</c:v>
                </c:pt>
                <c:pt idx="1">
                  <c:v>Enugu</c:v>
                </c:pt>
                <c:pt idx="2">
                  <c:v>Ibadan</c:v>
                </c:pt>
                <c:pt idx="3">
                  <c:v>Jos</c:v>
                </c:pt>
                <c:pt idx="4">
                  <c:v>Kaduna</c:v>
                </c:pt>
                <c:pt idx="5">
                  <c:v>Kano</c:v>
                </c:pt>
                <c:pt idx="6">
                  <c:v>Lagos</c:v>
                </c:pt>
                <c:pt idx="7">
                  <c:v>Port Harcourt</c:v>
                </c:pt>
              </c:strCache>
            </c:strRef>
          </c:cat>
          <c:val>
            <c:numRef>
              <c:f>Dashboard!$B$14:$B$21</c:f>
              <c:numCache>
                <c:formatCode>General</c:formatCode>
                <c:ptCount val="8"/>
                <c:pt idx="0">
                  <c:v>85151.66</c:v>
                </c:pt>
                <c:pt idx="1">
                  <c:v>69619.22</c:v>
                </c:pt>
                <c:pt idx="2">
                  <c:v>45806.48</c:v>
                </c:pt>
                <c:pt idx="3">
                  <c:v>21926.05</c:v>
                </c:pt>
                <c:pt idx="4">
                  <c:v>69928.7</c:v>
                </c:pt>
                <c:pt idx="5">
                  <c:v>83404.1</c:v>
                </c:pt>
                <c:pt idx="6">
                  <c:v>61557.32</c:v>
                </c:pt>
                <c:pt idx="7">
                  <c:v>43359.1</c:v>
                </c:pt>
              </c:numCache>
            </c:numRef>
          </c:val>
        </c:ser>
        <c:gapWidth val="150"/>
        <c:overlap val="0"/>
        <c:axId val="62347951"/>
        <c:axId val="90693829"/>
      </c:barChart>
      <c:catAx>
        <c:axId val="62347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93829"/>
        <c:crosses val="autoZero"/>
        <c:auto val="1"/>
        <c:lblAlgn val="ctr"/>
        <c:lblOffset val="100"/>
        <c:noMultiLvlLbl val="0"/>
      </c:catAx>
      <c:valAx>
        <c:axId val="90693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47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Entered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Entry_Log!B4</c:f>
              <c:strCache>
                <c:ptCount val="1"/>
                <c:pt idx="0">
                  <c:v>Orders Entered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Entry_Log!$A$5:$A$11</c:f>
              <c:strCache>
                <c:ptCount val="7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</c:strCache>
            </c:strRef>
          </c:cat>
          <c:val>
            <c:numRef>
              <c:f>Entry_Log!$B$5:$B$11</c:f>
              <c:numCache>
                <c:formatCode>General</c:formatCode>
                <c:ptCount val="7"/>
                <c:pt idx="0">
                  <c:v>83</c:v>
                </c:pt>
                <c:pt idx="1">
                  <c:v>55</c:v>
                </c:pt>
                <c:pt idx="2">
                  <c:v>90</c:v>
                </c:pt>
                <c:pt idx="3">
                  <c:v>71</c:v>
                </c:pt>
                <c:pt idx="4">
                  <c:v>92</c:v>
                </c:pt>
                <c:pt idx="5">
                  <c:v>83</c:v>
                </c:pt>
                <c:pt idx="6">
                  <c:v>61</c:v>
                </c:pt>
              </c:numCache>
            </c:numRef>
          </c:val>
        </c:ser>
        <c:gapWidth val="150"/>
        <c:overlap val="0"/>
        <c:axId val="24301976"/>
        <c:axId val="4805026"/>
      </c:barChart>
      <c:catAx>
        <c:axId val="243019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5026"/>
        <c:crosses val="autoZero"/>
        <c:auto val="1"/>
        <c:lblAlgn val="ctr"/>
        <c:lblOffset val="100"/>
        <c:noMultiLvlLbl val="0"/>
      </c:catAx>
      <c:valAx>
        <c:axId val="4805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01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101160</xdr:rowOff>
    </xdr:from>
    <xdr:to>
      <xdr:col>12</xdr:col>
      <xdr:colOff>507600</xdr:colOff>
      <xdr:row>25</xdr:row>
      <xdr:rowOff>123120</xdr:rowOff>
    </xdr:to>
    <xdr:graphicFrame>
      <xdr:nvGraphicFramePr>
        <xdr:cNvPr id="0" name="Chart 1"/>
        <xdr:cNvGraphicFramePr/>
      </xdr:nvGraphicFramePr>
      <xdr:xfrm>
        <a:off x="4229280" y="2095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11</xdr:col>
      <xdr:colOff>507600</xdr:colOff>
      <xdr:row>17</xdr:row>
      <xdr:rowOff>182880</xdr:rowOff>
    </xdr:to>
    <xdr:graphicFrame>
      <xdr:nvGraphicFramePr>
        <xdr:cNvPr id="1" name="Chart 1"/>
        <xdr:cNvGraphicFramePr/>
      </xdr:nvGraphicFramePr>
      <xdr:xfrm>
        <a:off x="258516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8</v>
      </c>
      <c r="D7" s="4" t="s">
        <v>16</v>
      </c>
    </row>
    <row r="8" customFormat="false" ht="15" hidden="false" customHeight="false" outlineLevel="0" collapsed="false">
      <c r="A8" s="4" t="s">
        <v>17</v>
      </c>
      <c r="B8" s="4" t="s">
        <v>18</v>
      </c>
      <c r="C8" s="4" t="s">
        <v>8</v>
      </c>
      <c r="D8" s="4" t="s">
        <v>19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22</v>
      </c>
      <c r="D9" s="4" t="s">
        <v>23</v>
      </c>
    </row>
    <row r="10" customFormat="false" ht="15" hidden="false" customHeight="false" outlineLevel="0" collapsed="false">
      <c r="A10" s="4" t="s">
        <v>24</v>
      </c>
      <c r="B10" s="4" t="s">
        <v>25</v>
      </c>
      <c r="C10" s="4" t="s">
        <v>22</v>
      </c>
      <c r="D10" s="4" t="s">
        <v>16</v>
      </c>
    </row>
    <row r="11" customFormat="false" ht="15" hidden="false" customHeight="false" outlineLevel="0" collapsed="false">
      <c r="A11" s="4" t="s">
        <v>26</v>
      </c>
      <c r="B11" s="4" t="s">
        <v>27</v>
      </c>
      <c r="C11" s="4" t="s">
        <v>22</v>
      </c>
      <c r="D11" s="4" t="s">
        <v>9</v>
      </c>
    </row>
    <row r="12" customFormat="false" ht="15" hidden="false" customHeight="false" outlineLevel="0" collapsed="false">
      <c r="A12" s="4" t="s">
        <v>28</v>
      </c>
      <c r="B12" s="4" t="s">
        <v>29</v>
      </c>
      <c r="C12" s="4" t="s">
        <v>12</v>
      </c>
      <c r="D12" s="4" t="s">
        <v>16</v>
      </c>
    </row>
    <row r="13" customFormat="false" ht="15" hidden="false" customHeight="false" outlineLevel="0" collapsed="false">
      <c r="A13" s="4" t="s">
        <v>30</v>
      </c>
      <c r="B13" s="4" t="s">
        <v>31</v>
      </c>
      <c r="C13" s="4" t="s">
        <v>12</v>
      </c>
      <c r="D13" s="4" t="s">
        <v>19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8</v>
      </c>
      <c r="D14" s="4" t="s">
        <v>13</v>
      </c>
    </row>
    <row r="15" customFormat="false" ht="15" hidden="false" customHeight="false" outlineLevel="0" collapsed="false">
      <c r="A15" s="4" t="s">
        <v>34</v>
      </c>
      <c r="B15" s="4" t="s">
        <v>35</v>
      </c>
      <c r="C15" s="4" t="s">
        <v>36</v>
      </c>
      <c r="D15" s="4" t="s">
        <v>37</v>
      </c>
    </row>
    <row r="16" customFormat="false" ht="15" hidden="false" customHeight="false" outlineLevel="0" collapsed="false">
      <c r="A16" s="4" t="s">
        <v>38</v>
      </c>
      <c r="B16" s="4" t="s">
        <v>39</v>
      </c>
      <c r="C16" s="4" t="s">
        <v>8</v>
      </c>
      <c r="D16" s="4" t="s">
        <v>40</v>
      </c>
    </row>
    <row r="17" customFormat="false" ht="15" hidden="false" customHeight="false" outlineLevel="0" collapsed="false">
      <c r="A17" s="4" t="s">
        <v>41</v>
      </c>
      <c r="B17" s="4" t="s">
        <v>42</v>
      </c>
      <c r="C17" s="4" t="s">
        <v>43</v>
      </c>
      <c r="D17" s="4" t="s">
        <v>13</v>
      </c>
    </row>
    <row r="18" customFormat="false" ht="15" hidden="false" customHeight="false" outlineLevel="0" collapsed="false">
      <c r="A18" s="4" t="s">
        <v>44</v>
      </c>
      <c r="B18" s="4" t="s">
        <v>45</v>
      </c>
      <c r="C18" s="4" t="s">
        <v>22</v>
      </c>
      <c r="D18" s="4" t="s">
        <v>37</v>
      </c>
    </row>
    <row r="19" customFormat="false" ht="15" hidden="false" customHeight="false" outlineLevel="0" collapsed="false">
      <c r="A19" s="4" t="s">
        <v>46</v>
      </c>
      <c r="B19" s="4" t="s">
        <v>47</v>
      </c>
      <c r="C19" s="4" t="s">
        <v>8</v>
      </c>
      <c r="D19" s="4" t="s">
        <v>23</v>
      </c>
    </row>
    <row r="20" customFormat="false" ht="15" hidden="false" customHeight="false" outlineLevel="0" collapsed="false">
      <c r="A20" s="4" t="s">
        <v>48</v>
      </c>
      <c r="B20" s="4" t="s">
        <v>49</v>
      </c>
      <c r="C20" s="4" t="s">
        <v>36</v>
      </c>
      <c r="D20" s="4" t="s">
        <v>13</v>
      </c>
    </row>
    <row r="21" customFormat="false" ht="15" hidden="false" customHeight="false" outlineLevel="0" collapsed="false">
      <c r="A21" s="4" t="s">
        <v>50</v>
      </c>
      <c r="B21" s="4" t="s">
        <v>51</v>
      </c>
      <c r="C21" s="4" t="s">
        <v>8</v>
      </c>
      <c r="D21" s="4" t="s">
        <v>16</v>
      </c>
    </row>
    <row r="22" customFormat="false" ht="15" hidden="false" customHeight="false" outlineLevel="0" collapsed="false">
      <c r="A22" s="4" t="s">
        <v>52</v>
      </c>
      <c r="B22" s="4" t="s">
        <v>53</v>
      </c>
      <c r="C22" s="4" t="s">
        <v>36</v>
      </c>
      <c r="D22" s="4" t="s">
        <v>54</v>
      </c>
    </row>
    <row r="23" customFormat="false" ht="15" hidden="false" customHeight="false" outlineLevel="0" collapsed="false">
      <c r="A23" s="4" t="s">
        <v>55</v>
      </c>
      <c r="B23" s="4" t="s">
        <v>56</v>
      </c>
      <c r="C23" s="4" t="s">
        <v>12</v>
      </c>
      <c r="D23" s="4" t="s">
        <v>9</v>
      </c>
    </row>
    <row r="24" customFormat="false" ht="15" hidden="false" customHeight="false" outlineLevel="0" collapsed="false">
      <c r="A24" s="4" t="s">
        <v>57</v>
      </c>
      <c r="B24" s="4" t="s">
        <v>58</v>
      </c>
      <c r="C24" s="4" t="s">
        <v>22</v>
      </c>
      <c r="D24" s="4" t="s">
        <v>54</v>
      </c>
    </row>
    <row r="25" customFormat="false" ht="15" hidden="false" customHeight="false" outlineLevel="0" collapsed="false">
      <c r="A25" s="4" t="s">
        <v>59</v>
      </c>
      <c r="B25" s="4" t="s">
        <v>60</v>
      </c>
      <c r="C25" s="4" t="s">
        <v>12</v>
      </c>
      <c r="D25" s="4" t="s">
        <v>40</v>
      </c>
    </row>
    <row r="26" customFormat="false" ht="15" hidden="false" customHeight="false" outlineLevel="0" collapsed="false">
      <c r="A26" s="4" t="s">
        <v>61</v>
      </c>
      <c r="B26" s="4" t="s">
        <v>62</v>
      </c>
      <c r="C26" s="4" t="s">
        <v>22</v>
      </c>
      <c r="D26" s="4" t="s">
        <v>19</v>
      </c>
    </row>
    <row r="27" customFormat="false" ht="15" hidden="false" customHeight="false" outlineLevel="0" collapsed="false">
      <c r="A27" s="4" t="s">
        <v>63</v>
      </c>
      <c r="B27" s="4" t="s">
        <v>64</v>
      </c>
      <c r="C27" s="4" t="s">
        <v>8</v>
      </c>
      <c r="D27" s="4" t="s">
        <v>19</v>
      </c>
    </row>
    <row r="28" customFormat="false" ht="15" hidden="false" customHeight="false" outlineLevel="0" collapsed="false">
      <c r="A28" s="4" t="s">
        <v>65</v>
      </c>
      <c r="B28" s="4" t="s">
        <v>66</v>
      </c>
      <c r="C28" s="4" t="s">
        <v>36</v>
      </c>
      <c r="D28" s="4" t="s">
        <v>16</v>
      </c>
    </row>
    <row r="29" customFormat="false" ht="15" hidden="false" customHeight="false" outlineLevel="0" collapsed="false">
      <c r="A29" s="4" t="s">
        <v>67</v>
      </c>
      <c r="B29" s="4" t="s">
        <v>68</v>
      </c>
      <c r="C29" s="4" t="s">
        <v>12</v>
      </c>
      <c r="D29" s="4" t="s">
        <v>37</v>
      </c>
    </row>
    <row r="30" customFormat="false" ht="15" hidden="false" customHeight="false" outlineLevel="0" collapsed="false">
      <c r="A30" s="4" t="s">
        <v>69</v>
      </c>
      <c r="B30" s="4" t="s">
        <v>70</v>
      </c>
      <c r="C30" s="4" t="s">
        <v>43</v>
      </c>
      <c r="D30" s="4" t="s">
        <v>40</v>
      </c>
    </row>
    <row r="31" customFormat="false" ht="15" hidden="false" customHeight="false" outlineLevel="0" collapsed="false">
      <c r="A31" s="4" t="s">
        <v>71</v>
      </c>
      <c r="B31" s="4" t="s">
        <v>72</v>
      </c>
      <c r="C31" s="4" t="s">
        <v>12</v>
      </c>
      <c r="D31" s="4" t="s">
        <v>19</v>
      </c>
    </row>
    <row r="32" customFormat="false" ht="15" hidden="false" customHeight="false" outlineLevel="0" collapsed="false">
      <c r="A32" s="4" t="s">
        <v>73</v>
      </c>
      <c r="B32" s="4" t="s">
        <v>74</v>
      </c>
      <c r="C32" s="4" t="s">
        <v>22</v>
      </c>
      <c r="D32" s="4" t="s">
        <v>9</v>
      </c>
    </row>
    <row r="33" customFormat="false" ht="15" hidden="false" customHeight="false" outlineLevel="0" collapsed="false">
      <c r="A33" s="4" t="s">
        <v>75</v>
      </c>
      <c r="B33" s="4" t="s">
        <v>76</v>
      </c>
      <c r="C33" s="4" t="s">
        <v>43</v>
      </c>
      <c r="D33" s="4" t="s">
        <v>16</v>
      </c>
    </row>
    <row r="34" customFormat="false" ht="15" hidden="false" customHeight="false" outlineLevel="0" collapsed="false">
      <c r="A34" s="4" t="s">
        <v>77</v>
      </c>
      <c r="B34" s="4" t="s">
        <v>78</v>
      </c>
      <c r="C34" s="4" t="s">
        <v>12</v>
      </c>
      <c r="D34" s="4" t="s">
        <v>40</v>
      </c>
    </row>
    <row r="35" customFormat="false" ht="15" hidden="false" customHeight="false" outlineLevel="0" collapsed="false">
      <c r="A35" s="4" t="s">
        <v>79</v>
      </c>
      <c r="B35" s="4" t="s">
        <v>80</v>
      </c>
      <c r="C35" s="4" t="s">
        <v>8</v>
      </c>
      <c r="D35" s="4" t="s">
        <v>54</v>
      </c>
    </row>
    <row r="36" customFormat="false" ht="15" hidden="false" customHeight="false" outlineLevel="0" collapsed="false">
      <c r="A36" s="4" t="s">
        <v>81</v>
      </c>
      <c r="B36" s="4" t="s">
        <v>82</v>
      </c>
      <c r="C36" s="4" t="s">
        <v>43</v>
      </c>
      <c r="D36" s="4" t="s">
        <v>13</v>
      </c>
    </row>
    <row r="37" customFormat="false" ht="15" hidden="false" customHeight="false" outlineLevel="0" collapsed="false">
      <c r="A37" s="4" t="s">
        <v>83</v>
      </c>
      <c r="B37" s="4" t="s">
        <v>84</v>
      </c>
      <c r="C37" s="4" t="s">
        <v>22</v>
      </c>
      <c r="D37" s="4" t="s">
        <v>40</v>
      </c>
    </row>
    <row r="38" customFormat="false" ht="15" hidden="false" customHeight="false" outlineLevel="0" collapsed="false">
      <c r="A38" s="4" t="s">
        <v>85</v>
      </c>
      <c r="B38" s="4" t="s">
        <v>86</v>
      </c>
      <c r="C38" s="4" t="s">
        <v>22</v>
      </c>
      <c r="D38" s="4" t="s">
        <v>23</v>
      </c>
    </row>
    <row r="39" customFormat="false" ht="15" hidden="false" customHeight="false" outlineLevel="0" collapsed="false">
      <c r="A39" s="4" t="s">
        <v>87</v>
      </c>
      <c r="B39" s="4" t="s">
        <v>88</v>
      </c>
      <c r="C39" s="4" t="s">
        <v>22</v>
      </c>
      <c r="D39" s="4" t="s">
        <v>9</v>
      </c>
    </row>
    <row r="40" customFormat="false" ht="15" hidden="false" customHeight="false" outlineLevel="0" collapsed="false">
      <c r="A40" s="4" t="s">
        <v>89</v>
      </c>
      <c r="B40" s="4" t="s">
        <v>33</v>
      </c>
      <c r="C40" s="4" t="s">
        <v>8</v>
      </c>
      <c r="D40" s="4" t="s">
        <v>9</v>
      </c>
    </row>
    <row r="41" customFormat="false" ht="15" hidden="false" customHeight="false" outlineLevel="0" collapsed="false">
      <c r="A41" s="4" t="s">
        <v>90</v>
      </c>
      <c r="B41" s="4" t="s">
        <v>91</v>
      </c>
      <c r="C41" s="4" t="s">
        <v>43</v>
      </c>
      <c r="D41" s="4" t="s">
        <v>23</v>
      </c>
    </row>
    <row r="42" customFormat="false" ht="15" hidden="false" customHeight="false" outlineLevel="0" collapsed="false">
      <c r="A42" s="4" t="s">
        <v>92</v>
      </c>
      <c r="B42" s="4" t="s">
        <v>93</v>
      </c>
      <c r="C42" s="4" t="s">
        <v>22</v>
      </c>
      <c r="D42" s="4" t="s">
        <v>54</v>
      </c>
    </row>
    <row r="43" customFormat="false" ht="15" hidden="false" customHeight="false" outlineLevel="0" collapsed="false">
      <c r="A43" s="4" t="s">
        <v>94</v>
      </c>
      <c r="B43" s="4" t="s">
        <v>95</v>
      </c>
      <c r="C43" s="4" t="s">
        <v>36</v>
      </c>
      <c r="D43" s="4" t="s">
        <v>19</v>
      </c>
    </row>
    <row r="44" customFormat="false" ht="15" hidden="false" customHeight="false" outlineLevel="0" collapsed="false">
      <c r="A44" s="4" t="s">
        <v>96</v>
      </c>
      <c r="B44" s="4" t="s">
        <v>97</v>
      </c>
      <c r="C44" s="4" t="s">
        <v>12</v>
      </c>
      <c r="D44" s="4" t="s">
        <v>23</v>
      </c>
    </row>
    <row r="45" customFormat="false" ht="15" hidden="false" customHeight="false" outlineLevel="0" collapsed="false">
      <c r="A45" s="4" t="s">
        <v>98</v>
      </c>
      <c r="B45" s="4" t="s">
        <v>99</v>
      </c>
      <c r="C45" s="4" t="s">
        <v>43</v>
      </c>
      <c r="D45" s="4" t="s">
        <v>23</v>
      </c>
    </row>
    <row r="46" customFormat="false" ht="15" hidden="false" customHeight="false" outlineLevel="0" collapsed="false">
      <c r="A46" s="4" t="s">
        <v>100</v>
      </c>
      <c r="B46" s="4" t="s">
        <v>101</v>
      </c>
      <c r="C46" s="4" t="s">
        <v>36</v>
      </c>
      <c r="D46" s="4" t="s">
        <v>19</v>
      </c>
    </row>
    <row r="47" customFormat="false" ht="15" hidden="false" customHeight="false" outlineLevel="0" collapsed="false">
      <c r="A47" s="4" t="s">
        <v>102</v>
      </c>
      <c r="B47" s="4" t="s">
        <v>103</v>
      </c>
      <c r="C47" s="4" t="s">
        <v>22</v>
      </c>
      <c r="D47" s="4" t="s">
        <v>13</v>
      </c>
    </row>
    <row r="48" customFormat="false" ht="15" hidden="false" customHeight="false" outlineLevel="0" collapsed="false">
      <c r="A48" s="4" t="s">
        <v>104</v>
      </c>
      <c r="B48" s="4" t="s">
        <v>105</v>
      </c>
      <c r="C48" s="4" t="s">
        <v>8</v>
      </c>
      <c r="D48" s="4" t="s">
        <v>54</v>
      </c>
    </row>
    <row r="49" customFormat="false" ht="15" hidden="false" customHeight="false" outlineLevel="0" collapsed="false">
      <c r="A49" s="4" t="s">
        <v>106</v>
      </c>
      <c r="B49" s="4" t="s">
        <v>107</v>
      </c>
      <c r="C49" s="4" t="s">
        <v>22</v>
      </c>
      <c r="D49" s="4" t="s">
        <v>54</v>
      </c>
    </row>
    <row r="50" customFormat="false" ht="15" hidden="false" customHeight="false" outlineLevel="0" collapsed="false">
      <c r="A50" s="4" t="s">
        <v>108</v>
      </c>
      <c r="B50" s="4" t="s">
        <v>109</v>
      </c>
      <c r="C50" s="4" t="s">
        <v>22</v>
      </c>
      <c r="D50" s="4" t="s">
        <v>16</v>
      </c>
    </row>
    <row r="51" customFormat="false" ht="15" hidden="false" customHeight="false" outlineLevel="0" collapsed="false">
      <c r="A51" s="4" t="s">
        <v>110</v>
      </c>
      <c r="B51" s="4" t="s">
        <v>111</v>
      </c>
      <c r="C51" s="4" t="s">
        <v>12</v>
      </c>
      <c r="D51" s="4" t="s">
        <v>9</v>
      </c>
    </row>
    <row r="52" customFormat="false" ht="15" hidden="false" customHeight="false" outlineLevel="0" collapsed="false">
      <c r="A52" s="4" t="s">
        <v>112</v>
      </c>
      <c r="B52" s="4" t="s">
        <v>113</v>
      </c>
      <c r="C52" s="4" t="s">
        <v>43</v>
      </c>
      <c r="D52" s="4" t="s">
        <v>40</v>
      </c>
    </row>
    <row r="53" customFormat="false" ht="15" hidden="false" customHeight="false" outlineLevel="0" collapsed="false">
      <c r="A53" s="4" t="s">
        <v>114</v>
      </c>
      <c r="B53" s="4" t="s">
        <v>115</v>
      </c>
      <c r="C53" s="4" t="s">
        <v>12</v>
      </c>
      <c r="D53" s="4" t="s">
        <v>13</v>
      </c>
    </row>
    <row r="54" customFormat="false" ht="15" hidden="false" customHeight="false" outlineLevel="0" collapsed="false">
      <c r="A54" s="4" t="s">
        <v>116</v>
      </c>
      <c r="B54" s="4" t="s">
        <v>117</v>
      </c>
      <c r="C54" s="4" t="s">
        <v>22</v>
      </c>
      <c r="D54" s="4" t="s">
        <v>19</v>
      </c>
    </row>
    <row r="55" customFormat="false" ht="15" hidden="false" customHeight="false" outlineLevel="0" collapsed="false">
      <c r="A55" s="4" t="s">
        <v>118</v>
      </c>
      <c r="B55" s="4" t="s">
        <v>119</v>
      </c>
      <c r="C55" s="4" t="s">
        <v>8</v>
      </c>
      <c r="D55" s="4" t="s">
        <v>13</v>
      </c>
    </row>
    <row r="56" customFormat="false" ht="15" hidden="false" customHeight="false" outlineLevel="0" collapsed="false">
      <c r="A56" s="4" t="s">
        <v>120</v>
      </c>
      <c r="B56" s="4" t="s">
        <v>121</v>
      </c>
      <c r="C56" s="4" t="s">
        <v>12</v>
      </c>
      <c r="D56" s="4" t="s">
        <v>13</v>
      </c>
    </row>
    <row r="57" customFormat="false" ht="15" hidden="false" customHeight="false" outlineLevel="0" collapsed="false">
      <c r="A57" s="4" t="s">
        <v>122</v>
      </c>
      <c r="B57" s="4" t="s">
        <v>123</v>
      </c>
      <c r="C57" s="4" t="s">
        <v>36</v>
      </c>
      <c r="D57" s="4" t="s">
        <v>13</v>
      </c>
    </row>
    <row r="58" customFormat="false" ht="15" hidden="false" customHeight="false" outlineLevel="0" collapsed="false">
      <c r="A58" s="4" t="s">
        <v>124</v>
      </c>
      <c r="B58" s="4" t="s">
        <v>125</v>
      </c>
      <c r="C58" s="4" t="s">
        <v>36</v>
      </c>
      <c r="D58" s="4" t="s">
        <v>40</v>
      </c>
    </row>
    <row r="59" customFormat="false" ht="15" hidden="false" customHeight="false" outlineLevel="0" collapsed="false">
      <c r="A59" s="4" t="s">
        <v>126</v>
      </c>
      <c r="B59" s="4" t="s">
        <v>111</v>
      </c>
      <c r="C59" s="4" t="s">
        <v>12</v>
      </c>
      <c r="D59" s="4" t="s">
        <v>40</v>
      </c>
    </row>
    <row r="60" customFormat="false" ht="15" hidden="false" customHeight="false" outlineLevel="0" collapsed="false">
      <c r="A60" s="4" t="s">
        <v>127</v>
      </c>
      <c r="B60" s="4" t="s">
        <v>128</v>
      </c>
      <c r="C60" s="4" t="s">
        <v>43</v>
      </c>
      <c r="D60" s="4" t="s">
        <v>19</v>
      </c>
    </row>
    <row r="61" customFormat="false" ht="15" hidden="false" customHeight="false" outlineLevel="0" collapsed="false">
      <c r="A61" s="4" t="s">
        <v>129</v>
      </c>
      <c r="B61" s="4" t="s">
        <v>130</v>
      </c>
      <c r="C61" s="4" t="s">
        <v>43</v>
      </c>
      <c r="D61" s="4" t="s">
        <v>37</v>
      </c>
    </row>
    <row r="62" customFormat="false" ht="15" hidden="false" customHeight="false" outlineLevel="0" collapsed="false">
      <c r="A62" s="4" t="s">
        <v>131</v>
      </c>
      <c r="B62" s="4" t="s">
        <v>132</v>
      </c>
      <c r="C62" s="4" t="s">
        <v>43</v>
      </c>
      <c r="D62" s="4" t="s">
        <v>23</v>
      </c>
    </row>
    <row r="63" customFormat="false" ht="15" hidden="false" customHeight="false" outlineLevel="0" collapsed="false">
      <c r="A63" s="4" t="s">
        <v>133</v>
      </c>
      <c r="B63" s="4" t="s">
        <v>88</v>
      </c>
      <c r="C63" s="4" t="s">
        <v>8</v>
      </c>
      <c r="D63" s="4" t="s">
        <v>16</v>
      </c>
    </row>
    <row r="64" customFormat="false" ht="15" hidden="false" customHeight="false" outlineLevel="0" collapsed="false">
      <c r="A64" s="4" t="s">
        <v>134</v>
      </c>
      <c r="B64" s="4" t="s">
        <v>135</v>
      </c>
      <c r="C64" s="4" t="s">
        <v>8</v>
      </c>
      <c r="D6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3" t="s">
        <v>138</v>
      </c>
      <c r="B4" s="3" t="s">
        <v>2</v>
      </c>
      <c r="C4" s="3" t="s">
        <v>3</v>
      </c>
      <c r="D4" s="3" t="s">
        <v>139</v>
      </c>
      <c r="E4" s="3" t="s">
        <v>140</v>
      </c>
      <c r="F4" s="3" t="s">
        <v>141</v>
      </c>
      <c r="G4" s="3" t="s">
        <v>142</v>
      </c>
      <c r="H4" s="3" t="s">
        <v>143</v>
      </c>
    </row>
    <row r="5" customFormat="false" ht="15" hidden="false" customHeight="false" outlineLevel="0" collapsed="false">
      <c r="A5" s="5" t="s">
        <v>144</v>
      </c>
      <c r="B5" s="5" t="s">
        <v>114</v>
      </c>
      <c r="C5" s="5" t="s">
        <v>145</v>
      </c>
      <c r="D5" s="5" t="s">
        <v>146</v>
      </c>
      <c r="E5" s="5" t="s">
        <v>147</v>
      </c>
      <c r="F5" s="5" t="s">
        <v>148</v>
      </c>
      <c r="G5" s="5" t="s">
        <v>149</v>
      </c>
      <c r="H5" s="5" t="s">
        <v>150</v>
      </c>
    </row>
    <row r="6" customFormat="false" ht="15" hidden="false" customHeight="false" outlineLevel="0" collapsed="false">
      <c r="A6" s="5" t="s">
        <v>151</v>
      </c>
      <c r="B6" s="5" t="s">
        <v>6</v>
      </c>
      <c r="C6" s="5" t="s">
        <v>152</v>
      </c>
      <c r="D6" s="5" t="s">
        <v>153</v>
      </c>
      <c r="E6" s="5" t="s">
        <v>154</v>
      </c>
      <c r="F6" s="5" t="s">
        <v>155</v>
      </c>
      <c r="G6" s="5" t="s">
        <v>156</v>
      </c>
      <c r="H6" s="5" t="s">
        <v>157</v>
      </c>
    </row>
    <row r="7" customFormat="false" ht="15" hidden="false" customHeight="false" outlineLevel="0" collapsed="false">
      <c r="A7" s="5" t="s">
        <v>158</v>
      </c>
      <c r="B7" s="5" t="s">
        <v>98</v>
      </c>
      <c r="C7" s="5" t="s">
        <v>99</v>
      </c>
      <c r="D7" s="5" t="s">
        <v>159</v>
      </c>
      <c r="E7" s="5" t="s">
        <v>160</v>
      </c>
      <c r="F7" s="5" t="s">
        <v>161</v>
      </c>
      <c r="G7" s="5" t="s">
        <v>162</v>
      </c>
      <c r="H7" s="5" t="s">
        <v>163</v>
      </c>
    </row>
    <row r="8" customFormat="false" ht="15" hidden="false" customHeight="false" outlineLevel="0" collapsed="false">
      <c r="A8" s="5" t="s">
        <v>164</v>
      </c>
      <c r="B8" s="5" t="s">
        <v>14</v>
      </c>
      <c r="C8" s="5" t="s">
        <v>15</v>
      </c>
      <c r="D8" s="5" t="s">
        <v>165</v>
      </c>
      <c r="E8" s="5" t="s">
        <v>147</v>
      </c>
      <c r="F8" s="5" t="s">
        <v>161</v>
      </c>
      <c r="G8" s="5" t="s">
        <v>166</v>
      </c>
      <c r="H8" s="5" t="s">
        <v>167</v>
      </c>
    </row>
    <row r="9" customFormat="false" ht="15" hidden="false" customHeight="false" outlineLevel="0" collapsed="false">
      <c r="A9" s="5" t="s">
        <v>168</v>
      </c>
      <c r="B9" s="5" t="s">
        <v>134</v>
      </c>
      <c r="C9" s="5" t="s">
        <v>169</v>
      </c>
      <c r="D9" s="5" t="s">
        <v>170</v>
      </c>
      <c r="E9" s="5" t="s">
        <v>171</v>
      </c>
      <c r="F9" s="5" t="s">
        <v>148</v>
      </c>
      <c r="G9" s="5" t="s">
        <v>172</v>
      </c>
      <c r="H9" s="5" t="s">
        <v>173</v>
      </c>
    </row>
    <row r="10" customFormat="false" ht="15" hidden="false" customHeight="false" outlineLevel="0" collapsed="false">
      <c r="A10" s="5" t="s">
        <v>174</v>
      </c>
      <c r="B10" s="5" t="s">
        <v>41</v>
      </c>
      <c r="C10" s="5" t="s">
        <v>42</v>
      </c>
      <c r="D10" s="5" t="s">
        <v>175</v>
      </c>
      <c r="E10" s="5" t="s">
        <v>176</v>
      </c>
      <c r="F10" s="5" t="s">
        <v>148</v>
      </c>
      <c r="G10" s="5" t="s">
        <v>177</v>
      </c>
      <c r="H10" s="5" t="s">
        <v>178</v>
      </c>
    </row>
    <row r="11" customFormat="false" ht="15" hidden="false" customHeight="false" outlineLevel="0" collapsed="false">
      <c r="A11" s="5" t="s">
        <v>179</v>
      </c>
      <c r="B11" s="5" t="s">
        <v>48</v>
      </c>
      <c r="C11" s="5" t="s">
        <v>180</v>
      </c>
      <c r="D11" s="5" t="s">
        <v>181</v>
      </c>
      <c r="E11" s="5" t="s">
        <v>182</v>
      </c>
      <c r="F11" s="5" t="s">
        <v>183</v>
      </c>
      <c r="G11" s="5" t="s">
        <v>184</v>
      </c>
      <c r="H11" s="5" t="s">
        <v>185</v>
      </c>
    </row>
    <row r="12" customFormat="false" ht="15" hidden="false" customHeight="false" outlineLevel="0" collapsed="false">
      <c r="A12" s="5" t="s">
        <v>186</v>
      </c>
      <c r="B12" s="5" t="s">
        <v>24</v>
      </c>
      <c r="C12" s="5" t="s">
        <v>187</v>
      </c>
      <c r="D12" s="5" t="s">
        <v>188</v>
      </c>
      <c r="E12" s="5" t="s">
        <v>189</v>
      </c>
      <c r="F12" s="5" t="s">
        <v>190</v>
      </c>
      <c r="G12" s="5" t="s">
        <v>191</v>
      </c>
      <c r="H12" s="5" t="s">
        <v>192</v>
      </c>
    </row>
    <row r="13" customFormat="false" ht="15" hidden="false" customHeight="false" outlineLevel="0" collapsed="false">
      <c r="A13" s="5" t="s">
        <v>193</v>
      </c>
      <c r="B13" s="5" t="s">
        <v>59</v>
      </c>
      <c r="C13" s="5" t="s">
        <v>60</v>
      </c>
      <c r="D13" s="5" t="s">
        <v>194</v>
      </c>
      <c r="E13" s="5" t="s">
        <v>195</v>
      </c>
      <c r="F13" s="5" t="s">
        <v>148</v>
      </c>
      <c r="G13" s="5" t="s">
        <v>196</v>
      </c>
      <c r="H13" s="5" t="s">
        <v>197</v>
      </c>
    </row>
    <row r="14" customFormat="false" ht="15" hidden="false" customHeight="false" outlineLevel="0" collapsed="false">
      <c r="A14" s="5" t="s">
        <v>198</v>
      </c>
      <c r="B14" s="5" t="s">
        <v>57</v>
      </c>
      <c r="C14" s="5" t="s">
        <v>199</v>
      </c>
      <c r="D14" s="5" t="s">
        <v>200</v>
      </c>
      <c r="E14" s="5" t="s">
        <v>201</v>
      </c>
      <c r="F14" s="5" t="s">
        <v>183</v>
      </c>
      <c r="G14" s="5" t="s">
        <v>202</v>
      </c>
      <c r="H14" s="5" t="s">
        <v>203</v>
      </c>
    </row>
    <row r="15" customFormat="false" ht="15" hidden="false" customHeight="false" outlineLevel="0" collapsed="false">
      <c r="A15" s="5" t="s">
        <v>204</v>
      </c>
      <c r="B15" s="5" t="s">
        <v>41</v>
      </c>
      <c r="C15" s="5" t="s">
        <v>42</v>
      </c>
      <c r="D15" s="5" t="s">
        <v>205</v>
      </c>
      <c r="E15" s="5" t="s">
        <v>189</v>
      </c>
      <c r="F15" s="5" t="s">
        <v>183</v>
      </c>
      <c r="G15" s="5" t="s">
        <v>206</v>
      </c>
      <c r="H15" s="5" t="s">
        <v>207</v>
      </c>
    </row>
    <row r="16" customFormat="false" ht="15" hidden="false" customHeight="false" outlineLevel="0" collapsed="false">
      <c r="A16" s="5" t="s">
        <v>208</v>
      </c>
      <c r="B16" s="5" t="s">
        <v>104</v>
      </c>
      <c r="C16" s="5" t="s">
        <v>105</v>
      </c>
      <c r="D16" s="5" t="s">
        <v>209</v>
      </c>
      <c r="E16" s="5" t="s">
        <v>189</v>
      </c>
      <c r="F16" s="5" t="s">
        <v>161</v>
      </c>
      <c r="G16" s="5" t="s">
        <v>210</v>
      </c>
      <c r="H16" s="5" t="s">
        <v>211</v>
      </c>
    </row>
    <row r="17" customFormat="false" ht="15" hidden="false" customHeight="false" outlineLevel="0" collapsed="false">
      <c r="A17" s="5" t="s">
        <v>212</v>
      </c>
      <c r="B17" s="5" t="s">
        <v>116</v>
      </c>
      <c r="C17" s="5" t="s">
        <v>213</v>
      </c>
      <c r="D17" s="5" t="s">
        <v>214</v>
      </c>
      <c r="E17" s="5" t="s">
        <v>171</v>
      </c>
      <c r="F17" s="5" t="s">
        <v>161</v>
      </c>
      <c r="G17" s="5" t="s">
        <v>215</v>
      </c>
      <c r="H17" s="5" t="s">
        <v>216</v>
      </c>
    </row>
    <row r="18" customFormat="false" ht="15" hidden="false" customHeight="false" outlineLevel="0" collapsed="false">
      <c r="A18" s="5" t="s">
        <v>217</v>
      </c>
      <c r="B18" s="5" t="s">
        <v>75</v>
      </c>
      <c r="C18" s="5" t="s">
        <v>76</v>
      </c>
      <c r="D18" s="5" t="s">
        <v>218</v>
      </c>
      <c r="E18" s="5" t="s">
        <v>171</v>
      </c>
      <c r="F18" s="5" t="s">
        <v>148</v>
      </c>
      <c r="G18" s="5" t="s">
        <v>219</v>
      </c>
      <c r="H18" s="5" t="s">
        <v>220</v>
      </c>
    </row>
    <row r="19" customFormat="false" ht="15" hidden="false" customHeight="false" outlineLevel="0" collapsed="false">
      <c r="A19" s="5" t="s">
        <v>221</v>
      </c>
      <c r="B19" s="5" t="s">
        <v>120</v>
      </c>
      <c r="C19" s="5" t="s">
        <v>222</v>
      </c>
      <c r="D19" s="5" t="s">
        <v>223</v>
      </c>
      <c r="E19" s="5" t="s">
        <v>201</v>
      </c>
      <c r="F19" s="5" t="s">
        <v>155</v>
      </c>
      <c r="G19" s="5" t="s">
        <v>224</v>
      </c>
      <c r="H19" s="5" t="s">
        <v>225</v>
      </c>
    </row>
    <row r="20" customFormat="false" ht="15" hidden="false" customHeight="false" outlineLevel="0" collapsed="false">
      <c r="A20" s="5" t="s">
        <v>226</v>
      </c>
      <c r="B20" s="5" t="s">
        <v>81</v>
      </c>
      <c r="C20" s="5" t="s">
        <v>227</v>
      </c>
      <c r="D20" s="5" t="s">
        <v>228</v>
      </c>
      <c r="E20" s="5" t="s">
        <v>176</v>
      </c>
      <c r="F20" s="5" t="s">
        <v>229</v>
      </c>
      <c r="G20" s="5" t="s">
        <v>230</v>
      </c>
      <c r="H20" s="5" t="s">
        <v>231</v>
      </c>
    </row>
    <row r="21" customFormat="false" ht="15" hidden="false" customHeight="false" outlineLevel="0" collapsed="false">
      <c r="A21" s="5" t="s">
        <v>232</v>
      </c>
      <c r="B21" s="5" t="s">
        <v>102</v>
      </c>
      <c r="C21" s="5" t="s">
        <v>233</v>
      </c>
      <c r="D21" s="5" t="s">
        <v>234</v>
      </c>
      <c r="E21" s="5" t="s">
        <v>147</v>
      </c>
      <c r="F21" s="5" t="s">
        <v>190</v>
      </c>
      <c r="G21" s="5" t="s">
        <v>235</v>
      </c>
      <c r="H21" s="5" t="s">
        <v>236</v>
      </c>
    </row>
    <row r="22" customFormat="false" ht="15" hidden="false" customHeight="false" outlineLevel="0" collapsed="false">
      <c r="A22" s="5" t="s">
        <v>237</v>
      </c>
      <c r="B22" s="5" t="s">
        <v>17</v>
      </c>
      <c r="C22" s="5" t="s">
        <v>238</v>
      </c>
      <c r="D22" s="5" t="s">
        <v>228</v>
      </c>
      <c r="E22" s="5" t="s">
        <v>160</v>
      </c>
      <c r="F22" s="5" t="s">
        <v>190</v>
      </c>
      <c r="G22" s="5" t="s">
        <v>239</v>
      </c>
      <c r="H22" s="5" t="s">
        <v>240</v>
      </c>
    </row>
    <row r="23" customFormat="false" ht="15" hidden="false" customHeight="false" outlineLevel="0" collapsed="false">
      <c r="A23" s="5" t="s">
        <v>241</v>
      </c>
      <c r="B23" s="5" t="s">
        <v>48</v>
      </c>
      <c r="C23" s="5" t="s">
        <v>180</v>
      </c>
      <c r="D23" s="5" t="s">
        <v>242</v>
      </c>
      <c r="E23" s="5" t="s">
        <v>243</v>
      </c>
      <c r="F23" s="5" t="s">
        <v>148</v>
      </c>
      <c r="G23" s="5" t="s">
        <v>244</v>
      </c>
      <c r="H23" s="5" t="s">
        <v>245</v>
      </c>
    </row>
    <row r="24" customFormat="false" ht="15" hidden="false" customHeight="false" outlineLevel="0" collapsed="false">
      <c r="A24" s="5" t="s">
        <v>246</v>
      </c>
      <c r="B24" s="5" t="s">
        <v>50</v>
      </c>
      <c r="C24" s="5" t="s">
        <v>247</v>
      </c>
      <c r="D24" s="5" t="s">
        <v>248</v>
      </c>
      <c r="E24" s="5" t="s">
        <v>201</v>
      </c>
      <c r="F24" s="5" t="s">
        <v>161</v>
      </c>
      <c r="G24" s="5" t="s">
        <v>249</v>
      </c>
      <c r="H24" s="5" t="s">
        <v>250</v>
      </c>
    </row>
    <row r="25" customFormat="false" ht="15" hidden="false" customHeight="false" outlineLevel="0" collapsed="false">
      <c r="A25" s="5" t="s">
        <v>251</v>
      </c>
      <c r="B25" s="5" t="s">
        <v>79</v>
      </c>
      <c r="C25" s="5" t="s">
        <v>252</v>
      </c>
      <c r="D25" s="5" t="s">
        <v>253</v>
      </c>
      <c r="E25" s="5" t="s">
        <v>189</v>
      </c>
      <c r="F25" s="5" t="s">
        <v>155</v>
      </c>
      <c r="G25" s="5" t="s">
        <v>254</v>
      </c>
      <c r="H25" s="5" t="s">
        <v>255</v>
      </c>
    </row>
    <row r="26" customFormat="false" ht="15" hidden="false" customHeight="false" outlineLevel="0" collapsed="false">
      <c r="A26" s="5" t="s">
        <v>256</v>
      </c>
      <c r="B26" s="5" t="s">
        <v>77</v>
      </c>
      <c r="C26" s="5" t="s">
        <v>257</v>
      </c>
      <c r="D26" s="5" t="s">
        <v>258</v>
      </c>
      <c r="E26" s="5" t="s">
        <v>171</v>
      </c>
      <c r="F26" s="5" t="s">
        <v>161</v>
      </c>
      <c r="G26" s="5" t="s">
        <v>259</v>
      </c>
      <c r="H26" s="5" t="s">
        <v>260</v>
      </c>
    </row>
    <row r="27" customFormat="false" ht="15" hidden="false" customHeight="false" outlineLevel="0" collapsed="false">
      <c r="A27" s="5" t="s">
        <v>261</v>
      </c>
      <c r="B27" s="5" t="s">
        <v>87</v>
      </c>
      <c r="C27" s="5" t="s">
        <v>262</v>
      </c>
      <c r="D27" s="5" t="s">
        <v>263</v>
      </c>
      <c r="E27" s="5" t="s">
        <v>171</v>
      </c>
      <c r="F27" s="5" t="s">
        <v>148</v>
      </c>
      <c r="G27" s="5" t="s">
        <v>264</v>
      </c>
      <c r="H27" s="5" t="s">
        <v>265</v>
      </c>
    </row>
    <row r="28" customFormat="false" ht="15" hidden="false" customHeight="false" outlineLevel="0" collapsed="false">
      <c r="A28" s="5" t="s">
        <v>266</v>
      </c>
      <c r="B28" s="5" t="s">
        <v>118</v>
      </c>
      <c r="C28" s="5" t="s">
        <v>267</v>
      </c>
      <c r="D28" s="5" t="s">
        <v>268</v>
      </c>
      <c r="E28" s="5" t="s">
        <v>160</v>
      </c>
      <c r="F28" s="5" t="s">
        <v>155</v>
      </c>
      <c r="G28" s="5" t="s">
        <v>269</v>
      </c>
      <c r="H28" s="5" t="s">
        <v>270</v>
      </c>
    </row>
    <row r="29" customFormat="false" ht="15" hidden="false" customHeight="false" outlineLevel="0" collapsed="false">
      <c r="A29" s="5" t="s">
        <v>271</v>
      </c>
      <c r="B29" s="5" t="s">
        <v>14</v>
      </c>
      <c r="C29" s="5" t="s">
        <v>15</v>
      </c>
      <c r="D29" s="5" t="s">
        <v>272</v>
      </c>
      <c r="E29" s="5" t="s">
        <v>182</v>
      </c>
      <c r="F29" s="5" t="s">
        <v>161</v>
      </c>
      <c r="G29" s="5" t="s">
        <v>273</v>
      </c>
      <c r="H29" s="5" t="s">
        <v>274</v>
      </c>
    </row>
    <row r="30" customFormat="false" ht="15" hidden="false" customHeight="false" outlineLevel="0" collapsed="false">
      <c r="A30" s="5" t="s">
        <v>275</v>
      </c>
      <c r="B30" s="5" t="s">
        <v>116</v>
      </c>
      <c r="C30" s="5" t="s">
        <v>276</v>
      </c>
      <c r="D30" s="5" t="s">
        <v>277</v>
      </c>
      <c r="E30" s="5" t="s">
        <v>147</v>
      </c>
      <c r="F30" s="5" t="s">
        <v>148</v>
      </c>
      <c r="G30" s="5" t="s">
        <v>278</v>
      </c>
      <c r="H30" s="5" t="s">
        <v>279</v>
      </c>
    </row>
    <row r="31" customFormat="false" ht="15" hidden="false" customHeight="false" outlineLevel="0" collapsed="false">
      <c r="A31" s="5" t="s">
        <v>280</v>
      </c>
      <c r="B31" s="5" t="s">
        <v>100</v>
      </c>
      <c r="C31" s="5" t="s">
        <v>101</v>
      </c>
      <c r="D31" s="5" t="s">
        <v>281</v>
      </c>
      <c r="E31" s="5" t="s">
        <v>182</v>
      </c>
      <c r="F31" s="5" t="s">
        <v>190</v>
      </c>
      <c r="G31" s="5" t="s">
        <v>282</v>
      </c>
      <c r="H31" s="5" t="s">
        <v>283</v>
      </c>
    </row>
    <row r="32" customFormat="false" ht="15" hidden="false" customHeight="false" outlineLevel="0" collapsed="false">
      <c r="A32" s="5" t="s">
        <v>284</v>
      </c>
      <c r="B32" s="5" t="s">
        <v>96</v>
      </c>
      <c r="C32" s="5" t="s">
        <v>285</v>
      </c>
      <c r="D32" s="5" t="s">
        <v>286</v>
      </c>
      <c r="E32" s="5" t="s">
        <v>243</v>
      </c>
      <c r="F32" s="5" t="s">
        <v>161</v>
      </c>
      <c r="G32" s="5" t="s">
        <v>287</v>
      </c>
      <c r="H32" s="5" t="s">
        <v>288</v>
      </c>
    </row>
    <row r="33" customFormat="false" ht="15" hidden="false" customHeight="false" outlineLevel="0" collapsed="false">
      <c r="A33" s="5" t="s">
        <v>289</v>
      </c>
      <c r="B33" s="5" t="s">
        <v>69</v>
      </c>
      <c r="C33" s="5" t="s">
        <v>290</v>
      </c>
      <c r="D33" s="5" t="s">
        <v>291</v>
      </c>
      <c r="E33" s="5" t="s">
        <v>147</v>
      </c>
      <c r="F33" s="5" t="s">
        <v>155</v>
      </c>
      <c r="G33" s="5" t="s">
        <v>292</v>
      </c>
      <c r="H33" s="5" t="s">
        <v>293</v>
      </c>
    </row>
    <row r="34" customFormat="false" ht="15" hidden="false" customHeight="false" outlineLevel="0" collapsed="false">
      <c r="A34" s="5" t="s">
        <v>294</v>
      </c>
      <c r="B34" s="5" t="s">
        <v>24</v>
      </c>
      <c r="C34" s="5" t="s">
        <v>295</v>
      </c>
      <c r="D34" s="5" t="s">
        <v>296</v>
      </c>
      <c r="E34" s="5" t="s">
        <v>182</v>
      </c>
      <c r="F34" s="5" t="s">
        <v>155</v>
      </c>
      <c r="G34" s="5" t="s">
        <v>297</v>
      </c>
      <c r="H34" s="5" t="s">
        <v>298</v>
      </c>
    </row>
    <row r="35" customFormat="false" ht="15" hidden="false" customHeight="false" outlineLevel="0" collapsed="false">
      <c r="A35" s="5" t="s">
        <v>299</v>
      </c>
      <c r="B35" s="5" t="s">
        <v>85</v>
      </c>
      <c r="C35" s="5" t="s">
        <v>300</v>
      </c>
      <c r="D35" s="5" t="s">
        <v>301</v>
      </c>
      <c r="E35" s="5" t="s">
        <v>160</v>
      </c>
      <c r="F35" s="5" t="s">
        <v>161</v>
      </c>
      <c r="G35" s="5" t="s">
        <v>302</v>
      </c>
      <c r="H35" s="5" t="s">
        <v>303</v>
      </c>
    </row>
    <row r="36" customFormat="false" ht="15" hidden="false" customHeight="false" outlineLevel="0" collapsed="false">
      <c r="A36" s="5" t="s">
        <v>304</v>
      </c>
      <c r="B36" s="5" t="s">
        <v>305</v>
      </c>
      <c r="C36" s="5" t="s">
        <v>103</v>
      </c>
      <c r="D36" s="5" t="s">
        <v>253</v>
      </c>
      <c r="E36" s="5" t="s">
        <v>182</v>
      </c>
      <c r="F36" s="5" t="s">
        <v>148</v>
      </c>
      <c r="G36" s="5" t="s">
        <v>306</v>
      </c>
      <c r="H36" s="5" t="s">
        <v>307</v>
      </c>
    </row>
    <row r="37" customFormat="false" ht="15" hidden="false" customHeight="false" outlineLevel="0" collapsed="false">
      <c r="A37" s="5" t="s">
        <v>308</v>
      </c>
      <c r="B37" s="5" t="s">
        <v>127</v>
      </c>
      <c r="C37" s="5" t="s">
        <v>128</v>
      </c>
      <c r="D37" s="5" t="s">
        <v>309</v>
      </c>
      <c r="E37" s="5" t="s">
        <v>189</v>
      </c>
      <c r="F37" s="5" t="s">
        <v>148</v>
      </c>
      <c r="G37" s="5" t="s">
        <v>310</v>
      </c>
      <c r="H37" s="5" t="s">
        <v>311</v>
      </c>
    </row>
    <row r="38" customFormat="false" ht="15" hidden="false" customHeight="false" outlineLevel="0" collapsed="false">
      <c r="A38" s="5" t="s">
        <v>312</v>
      </c>
      <c r="B38" s="5" t="s">
        <v>14</v>
      </c>
      <c r="C38" s="5" t="s">
        <v>15</v>
      </c>
      <c r="D38" s="5" t="s">
        <v>313</v>
      </c>
      <c r="E38" s="5" t="s">
        <v>154</v>
      </c>
      <c r="F38" s="5" t="s">
        <v>161</v>
      </c>
      <c r="G38" s="5" t="s">
        <v>314</v>
      </c>
      <c r="H38" s="5" t="s">
        <v>315</v>
      </c>
    </row>
    <row r="39" customFormat="false" ht="15" hidden="false" customHeight="false" outlineLevel="0" collapsed="false">
      <c r="A39" s="5" t="s">
        <v>316</v>
      </c>
      <c r="B39" s="5" t="s">
        <v>24</v>
      </c>
      <c r="C39" s="5" t="s">
        <v>295</v>
      </c>
      <c r="D39" s="5" t="s">
        <v>317</v>
      </c>
      <c r="E39" s="5" t="s">
        <v>243</v>
      </c>
      <c r="F39" s="5" t="s">
        <v>190</v>
      </c>
      <c r="G39" s="5" t="s">
        <v>318</v>
      </c>
      <c r="H39" s="5" t="s">
        <v>319</v>
      </c>
    </row>
    <row r="40" customFormat="false" ht="15" hidden="false" customHeight="false" outlineLevel="0" collapsed="false">
      <c r="A40" s="5" t="s">
        <v>320</v>
      </c>
      <c r="B40" s="5" t="s">
        <v>83</v>
      </c>
      <c r="C40" s="5" t="s">
        <v>321</v>
      </c>
      <c r="D40" s="5" t="s">
        <v>322</v>
      </c>
      <c r="E40" s="5" t="s">
        <v>243</v>
      </c>
      <c r="F40" s="5" t="s">
        <v>190</v>
      </c>
      <c r="G40" s="5" t="s">
        <v>323</v>
      </c>
      <c r="H40" s="5" t="s">
        <v>324</v>
      </c>
    </row>
    <row r="41" customFormat="false" ht="15" hidden="false" customHeight="false" outlineLevel="0" collapsed="false">
      <c r="A41" s="5" t="s">
        <v>325</v>
      </c>
      <c r="B41" s="5" t="s">
        <v>122</v>
      </c>
      <c r="C41" s="5" t="s">
        <v>123</v>
      </c>
      <c r="D41" s="5" t="s">
        <v>326</v>
      </c>
      <c r="E41" s="5" t="s">
        <v>176</v>
      </c>
      <c r="F41" s="5" t="s">
        <v>161</v>
      </c>
      <c r="G41" s="5" t="s">
        <v>327</v>
      </c>
      <c r="H41" s="5" t="s">
        <v>328</v>
      </c>
    </row>
    <row r="42" customFormat="false" ht="15" hidden="false" customHeight="false" outlineLevel="0" collapsed="false">
      <c r="A42" s="5" t="s">
        <v>329</v>
      </c>
      <c r="B42" s="5" t="s">
        <v>106</v>
      </c>
      <c r="C42" s="5" t="s">
        <v>330</v>
      </c>
      <c r="D42" s="5" t="s">
        <v>331</v>
      </c>
      <c r="E42" s="5" t="s">
        <v>171</v>
      </c>
      <c r="F42" s="5" t="s">
        <v>190</v>
      </c>
      <c r="G42" s="5" t="s">
        <v>332</v>
      </c>
      <c r="H42" s="5" t="s">
        <v>333</v>
      </c>
    </row>
    <row r="43" customFormat="false" ht="15" hidden="false" customHeight="false" outlineLevel="0" collapsed="false">
      <c r="A43" s="5" t="s">
        <v>334</v>
      </c>
      <c r="B43" s="5" t="s">
        <v>63</v>
      </c>
      <c r="C43" s="5" t="s">
        <v>335</v>
      </c>
      <c r="D43" s="5" t="s">
        <v>336</v>
      </c>
      <c r="E43" s="5" t="s">
        <v>182</v>
      </c>
      <c r="F43" s="5" t="s">
        <v>190</v>
      </c>
      <c r="G43" s="5" t="s">
        <v>337</v>
      </c>
      <c r="H43" s="5" t="s">
        <v>338</v>
      </c>
    </row>
    <row r="44" customFormat="false" ht="15" hidden="false" customHeight="false" outlineLevel="0" collapsed="false">
      <c r="A44" s="5" t="s">
        <v>339</v>
      </c>
      <c r="B44" s="5" t="s">
        <v>30</v>
      </c>
      <c r="C44" s="5" t="s">
        <v>31</v>
      </c>
      <c r="D44" s="5" t="s">
        <v>340</v>
      </c>
      <c r="E44" s="5" t="s">
        <v>147</v>
      </c>
      <c r="F44" s="5" t="s">
        <v>155</v>
      </c>
      <c r="G44" s="5" t="s">
        <v>341</v>
      </c>
      <c r="H44" s="5" t="s">
        <v>342</v>
      </c>
    </row>
    <row r="45" customFormat="false" ht="15" hidden="false" customHeight="false" outlineLevel="0" collapsed="false">
      <c r="A45" s="5" t="s">
        <v>343</v>
      </c>
      <c r="B45" s="5" t="s">
        <v>55</v>
      </c>
      <c r="C45" s="5" t="s">
        <v>344</v>
      </c>
      <c r="D45" s="5" t="s">
        <v>345</v>
      </c>
      <c r="E45" s="5" t="s">
        <v>195</v>
      </c>
      <c r="F45" s="5" t="s">
        <v>183</v>
      </c>
      <c r="G45" s="5" t="s">
        <v>346</v>
      </c>
      <c r="H45" s="5" t="s">
        <v>347</v>
      </c>
    </row>
    <row r="46" customFormat="false" ht="15" hidden="false" customHeight="false" outlineLevel="0" collapsed="false">
      <c r="A46" s="5" t="s">
        <v>348</v>
      </c>
      <c r="B46" s="5" t="s">
        <v>129</v>
      </c>
      <c r="C46" s="5" t="s">
        <v>130</v>
      </c>
      <c r="D46" s="5" t="s">
        <v>349</v>
      </c>
      <c r="E46" s="5" t="s">
        <v>154</v>
      </c>
      <c r="F46" s="5" t="s">
        <v>155</v>
      </c>
      <c r="G46" s="5" t="s">
        <v>350</v>
      </c>
      <c r="H46" s="5" t="s">
        <v>351</v>
      </c>
    </row>
    <row r="47" customFormat="false" ht="15" hidden="false" customHeight="false" outlineLevel="0" collapsed="false">
      <c r="A47" s="5" t="s">
        <v>352</v>
      </c>
      <c r="B47" s="5" t="s">
        <v>124</v>
      </c>
      <c r="C47" s="5" t="s">
        <v>353</v>
      </c>
      <c r="D47" s="5" t="s">
        <v>354</v>
      </c>
      <c r="E47" s="5" t="s">
        <v>154</v>
      </c>
      <c r="F47" s="5" t="s">
        <v>190</v>
      </c>
      <c r="G47" s="5" t="s">
        <v>355</v>
      </c>
      <c r="H47" s="5" t="s">
        <v>356</v>
      </c>
    </row>
    <row r="48" customFormat="false" ht="15" hidden="false" customHeight="false" outlineLevel="0" collapsed="false">
      <c r="A48" s="5" t="s">
        <v>357</v>
      </c>
      <c r="B48" s="5" t="s">
        <v>67</v>
      </c>
      <c r="C48" s="5" t="s">
        <v>358</v>
      </c>
      <c r="D48" s="5" t="s">
        <v>359</v>
      </c>
      <c r="E48" s="5" t="s">
        <v>201</v>
      </c>
      <c r="F48" s="5" t="s">
        <v>190</v>
      </c>
      <c r="G48" s="5" t="s">
        <v>360</v>
      </c>
      <c r="H48" s="5" t="s">
        <v>361</v>
      </c>
    </row>
    <row r="49" customFormat="false" ht="15" hidden="false" customHeight="false" outlineLevel="0" collapsed="false">
      <c r="A49" s="5" t="s">
        <v>362</v>
      </c>
      <c r="B49" s="5" t="s">
        <v>122</v>
      </c>
      <c r="C49" s="5" t="s">
        <v>363</v>
      </c>
      <c r="D49" s="5" t="s">
        <v>364</v>
      </c>
      <c r="E49" s="5" t="s">
        <v>243</v>
      </c>
      <c r="F49" s="5" t="s">
        <v>190</v>
      </c>
      <c r="G49" s="5" t="s">
        <v>365</v>
      </c>
      <c r="H49" s="5" t="s">
        <v>366</v>
      </c>
    </row>
    <row r="50" customFormat="false" ht="15" hidden="false" customHeight="false" outlineLevel="0" collapsed="false">
      <c r="A50" s="5" t="s">
        <v>367</v>
      </c>
      <c r="B50" s="5" t="s">
        <v>44</v>
      </c>
      <c r="C50" s="5" t="s">
        <v>368</v>
      </c>
      <c r="D50" s="5" t="s">
        <v>369</v>
      </c>
      <c r="E50" s="5" t="s">
        <v>243</v>
      </c>
      <c r="F50" s="5" t="s">
        <v>148</v>
      </c>
      <c r="G50" s="5" t="s">
        <v>370</v>
      </c>
      <c r="H50" s="5" t="s">
        <v>371</v>
      </c>
    </row>
    <row r="51" customFormat="false" ht="15" hidden="false" customHeight="false" outlineLevel="0" collapsed="false">
      <c r="A51" s="5" t="s">
        <v>372</v>
      </c>
      <c r="B51" s="5" t="s">
        <v>10</v>
      </c>
      <c r="C51" s="5" t="s">
        <v>373</v>
      </c>
      <c r="D51" s="5" t="s">
        <v>374</v>
      </c>
      <c r="E51" s="5" t="s">
        <v>243</v>
      </c>
      <c r="F51" s="5" t="s">
        <v>148</v>
      </c>
      <c r="G51" s="5" t="s">
        <v>375</v>
      </c>
      <c r="H51" s="5" t="s">
        <v>376</v>
      </c>
    </row>
    <row r="52" customFormat="false" ht="15" hidden="false" customHeight="false" outlineLevel="0" collapsed="false">
      <c r="A52" s="5" t="s">
        <v>377</v>
      </c>
      <c r="B52" s="5" t="s">
        <v>127</v>
      </c>
      <c r="C52" s="5" t="s">
        <v>378</v>
      </c>
      <c r="D52" s="5" t="s">
        <v>379</v>
      </c>
      <c r="E52" s="5" t="s">
        <v>176</v>
      </c>
      <c r="F52" s="5" t="s">
        <v>190</v>
      </c>
      <c r="G52" s="5" t="s">
        <v>380</v>
      </c>
      <c r="H52" s="5" t="s">
        <v>381</v>
      </c>
    </row>
    <row r="53" customFormat="false" ht="15" hidden="false" customHeight="false" outlineLevel="0" collapsed="false">
      <c r="A53" s="5" t="s">
        <v>382</v>
      </c>
      <c r="B53" s="5" t="s">
        <v>79</v>
      </c>
      <c r="C53" s="5" t="s">
        <v>383</v>
      </c>
      <c r="D53" s="5" t="s">
        <v>384</v>
      </c>
      <c r="E53" s="5" t="s">
        <v>189</v>
      </c>
      <c r="F53" s="5" t="s">
        <v>190</v>
      </c>
      <c r="G53" s="5" t="s">
        <v>385</v>
      </c>
      <c r="H53" s="5" t="s">
        <v>386</v>
      </c>
    </row>
    <row r="54" customFormat="false" ht="15" hidden="false" customHeight="false" outlineLevel="0" collapsed="false">
      <c r="A54" s="5" t="s">
        <v>387</v>
      </c>
      <c r="B54" s="5" t="s">
        <v>100</v>
      </c>
      <c r="C54" s="5" t="s">
        <v>388</v>
      </c>
      <c r="D54" s="5" t="s">
        <v>389</v>
      </c>
      <c r="E54" s="5" t="s">
        <v>176</v>
      </c>
      <c r="F54" s="5" t="s">
        <v>148</v>
      </c>
      <c r="G54" s="5" t="s">
        <v>390</v>
      </c>
      <c r="H54" s="5" t="s">
        <v>391</v>
      </c>
    </row>
    <row r="55" customFormat="false" ht="15" hidden="false" customHeight="false" outlineLevel="0" collapsed="false">
      <c r="A55" s="5" t="s">
        <v>392</v>
      </c>
      <c r="B55" s="5" t="s">
        <v>20</v>
      </c>
      <c r="C55" s="5" t="s">
        <v>21</v>
      </c>
      <c r="D55" s="5" t="s">
        <v>393</v>
      </c>
      <c r="E55" s="5" t="s">
        <v>160</v>
      </c>
      <c r="F55" s="5" t="s">
        <v>183</v>
      </c>
      <c r="G55" s="5" t="s">
        <v>394</v>
      </c>
      <c r="H55" s="5" t="s">
        <v>395</v>
      </c>
    </row>
    <row r="56" customFormat="false" ht="15" hidden="false" customHeight="false" outlineLevel="0" collapsed="false">
      <c r="A56" s="5" t="s">
        <v>396</v>
      </c>
      <c r="B56" s="5" t="s">
        <v>38</v>
      </c>
      <c r="C56" s="5" t="s">
        <v>39</v>
      </c>
      <c r="D56" s="5" t="s">
        <v>397</v>
      </c>
      <c r="E56" s="5" t="s">
        <v>160</v>
      </c>
      <c r="F56" s="5" t="s">
        <v>161</v>
      </c>
      <c r="G56" s="5" t="s">
        <v>398</v>
      </c>
      <c r="H56" s="5" t="s">
        <v>399</v>
      </c>
    </row>
    <row r="57" customFormat="false" ht="15" hidden="false" customHeight="false" outlineLevel="0" collapsed="false">
      <c r="A57" s="5" t="s">
        <v>164</v>
      </c>
      <c r="B57" s="5" t="s">
        <v>14</v>
      </c>
      <c r="C57" s="5" t="s">
        <v>15</v>
      </c>
      <c r="D57" s="5" t="s">
        <v>165</v>
      </c>
      <c r="E57" s="5" t="s">
        <v>147</v>
      </c>
      <c r="F57" s="5" t="s">
        <v>161</v>
      </c>
      <c r="G57" s="5" t="s">
        <v>166</v>
      </c>
      <c r="H57" s="5" t="s">
        <v>167</v>
      </c>
    </row>
    <row r="58" customFormat="false" ht="15" hidden="false" customHeight="false" outlineLevel="0" collapsed="false">
      <c r="A58" s="5" t="s">
        <v>400</v>
      </c>
      <c r="B58" s="5" t="s">
        <v>126</v>
      </c>
      <c r="C58" s="5" t="s">
        <v>401</v>
      </c>
      <c r="D58" s="5" t="s">
        <v>402</v>
      </c>
      <c r="E58" s="5" t="s">
        <v>176</v>
      </c>
      <c r="F58" s="5" t="s">
        <v>161</v>
      </c>
      <c r="G58" s="5" t="s">
        <v>403</v>
      </c>
      <c r="H58" s="5" t="s">
        <v>404</v>
      </c>
    </row>
    <row r="59" customFormat="false" ht="15" hidden="false" customHeight="false" outlineLevel="0" collapsed="false">
      <c r="A59" s="5" t="s">
        <v>405</v>
      </c>
      <c r="B59" s="5" t="s">
        <v>406</v>
      </c>
      <c r="C59" s="5" t="s">
        <v>407</v>
      </c>
      <c r="D59" s="5" t="s">
        <v>408</v>
      </c>
      <c r="E59" s="5" t="s">
        <v>189</v>
      </c>
      <c r="F59" s="5" t="s">
        <v>161</v>
      </c>
      <c r="G59" s="5" t="s">
        <v>409</v>
      </c>
      <c r="H59" s="5" t="s">
        <v>410</v>
      </c>
    </row>
    <row r="60" customFormat="false" ht="15" hidden="false" customHeight="false" outlineLevel="0" collapsed="false">
      <c r="A60" s="5" t="s">
        <v>411</v>
      </c>
      <c r="B60" s="5" t="s">
        <v>106</v>
      </c>
      <c r="C60" s="5" t="s">
        <v>412</v>
      </c>
      <c r="D60" s="5" t="s">
        <v>413</v>
      </c>
      <c r="E60" s="5" t="s">
        <v>147</v>
      </c>
      <c r="F60" s="5" t="s">
        <v>148</v>
      </c>
      <c r="G60" s="5" t="s">
        <v>414</v>
      </c>
      <c r="H60" s="5" t="s">
        <v>415</v>
      </c>
    </row>
    <row r="61" customFormat="false" ht="15" hidden="false" customHeight="false" outlineLevel="0" collapsed="false">
      <c r="A61" s="5" t="s">
        <v>416</v>
      </c>
      <c r="B61" s="5" t="s">
        <v>417</v>
      </c>
      <c r="C61" s="5" t="s">
        <v>418</v>
      </c>
      <c r="D61" s="5" t="s">
        <v>419</v>
      </c>
      <c r="E61" s="5" t="s">
        <v>171</v>
      </c>
      <c r="F61" s="5" t="s">
        <v>155</v>
      </c>
      <c r="G61" s="5" t="s">
        <v>420</v>
      </c>
      <c r="H61" s="5" t="s">
        <v>421</v>
      </c>
    </row>
    <row r="62" customFormat="false" ht="15" hidden="false" customHeight="false" outlineLevel="0" collapsed="false">
      <c r="A62" s="5" t="s">
        <v>422</v>
      </c>
      <c r="B62" s="5" t="s">
        <v>120</v>
      </c>
      <c r="C62" s="5" t="s">
        <v>121</v>
      </c>
      <c r="D62" s="5" t="s">
        <v>423</v>
      </c>
      <c r="E62" s="5" t="s">
        <v>243</v>
      </c>
      <c r="F62" s="5" t="s">
        <v>183</v>
      </c>
      <c r="G62" s="5" t="s">
        <v>424</v>
      </c>
      <c r="H62" s="5" t="s">
        <v>425</v>
      </c>
    </row>
    <row r="63" customFormat="false" ht="15" hidden="false" customHeight="false" outlineLevel="0" collapsed="false">
      <c r="A63" s="5" t="s">
        <v>426</v>
      </c>
      <c r="B63" s="5" t="s">
        <v>94</v>
      </c>
      <c r="C63" s="5" t="s">
        <v>427</v>
      </c>
      <c r="D63" s="5" t="s">
        <v>428</v>
      </c>
      <c r="E63" s="5" t="s">
        <v>154</v>
      </c>
      <c r="F63" s="5" t="s">
        <v>190</v>
      </c>
      <c r="G63" s="5" t="s">
        <v>429</v>
      </c>
      <c r="H63" s="5" t="s">
        <v>430</v>
      </c>
    </row>
    <row r="64" customFormat="false" ht="15" hidden="false" customHeight="false" outlineLevel="0" collapsed="false">
      <c r="A64" s="5" t="s">
        <v>431</v>
      </c>
      <c r="B64" s="5" t="s">
        <v>26</v>
      </c>
      <c r="C64" s="5" t="s">
        <v>27</v>
      </c>
      <c r="D64" s="5" t="s">
        <v>432</v>
      </c>
      <c r="E64" s="5" t="s">
        <v>154</v>
      </c>
      <c r="F64" s="5" t="s">
        <v>190</v>
      </c>
      <c r="G64" s="5" t="s">
        <v>433</v>
      </c>
      <c r="H64" s="5" t="s">
        <v>434</v>
      </c>
    </row>
    <row r="65" customFormat="false" ht="15" hidden="false" customHeight="false" outlineLevel="0" collapsed="false">
      <c r="A65" s="5" t="s">
        <v>435</v>
      </c>
      <c r="B65" s="5" t="s">
        <v>24</v>
      </c>
      <c r="C65" s="5" t="s">
        <v>187</v>
      </c>
      <c r="D65" s="5" t="s">
        <v>436</v>
      </c>
      <c r="E65" s="5" t="s">
        <v>201</v>
      </c>
      <c r="F65" s="5" t="s">
        <v>155</v>
      </c>
      <c r="G65" s="5" t="s">
        <v>437</v>
      </c>
      <c r="H65" s="5" t="s">
        <v>438</v>
      </c>
    </row>
    <row r="66" customFormat="false" ht="15" hidden="false" customHeight="false" outlineLevel="0" collapsed="false">
      <c r="A66" s="5" t="s">
        <v>439</v>
      </c>
      <c r="B66" s="5" t="s">
        <v>440</v>
      </c>
      <c r="C66" s="5" t="s">
        <v>441</v>
      </c>
      <c r="D66" s="5" t="s">
        <v>442</v>
      </c>
      <c r="E66" s="5" t="s">
        <v>176</v>
      </c>
      <c r="F66" s="5" t="s">
        <v>190</v>
      </c>
      <c r="G66" s="5" t="s">
        <v>443</v>
      </c>
      <c r="H66" s="5" t="s">
        <v>444</v>
      </c>
    </row>
    <row r="67" customFormat="false" ht="15" hidden="false" customHeight="false" outlineLevel="0" collapsed="false">
      <c r="A67" s="5" t="s">
        <v>445</v>
      </c>
      <c r="B67" s="5" t="s">
        <v>446</v>
      </c>
      <c r="C67" s="5" t="s">
        <v>447</v>
      </c>
      <c r="D67" s="5" t="s">
        <v>448</v>
      </c>
      <c r="E67" s="5" t="s">
        <v>201</v>
      </c>
      <c r="F67" s="5" t="s">
        <v>161</v>
      </c>
      <c r="G67" s="5" t="s">
        <v>449</v>
      </c>
      <c r="H67" s="5" t="s">
        <v>450</v>
      </c>
    </row>
    <row r="68" customFormat="false" ht="15" hidden="false" customHeight="false" outlineLevel="0" collapsed="false">
      <c r="A68" s="5" t="s">
        <v>451</v>
      </c>
      <c r="B68" s="5" t="s">
        <v>69</v>
      </c>
      <c r="C68" s="5" t="s">
        <v>70</v>
      </c>
      <c r="D68" s="5" t="s">
        <v>452</v>
      </c>
      <c r="E68" s="5" t="s">
        <v>171</v>
      </c>
      <c r="F68" s="5" t="s">
        <v>183</v>
      </c>
      <c r="G68" s="5" t="s">
        <v>453</v>
      </c>
      <c r="H68" s="5" t="s">
        <v>454</v>
      </c>
    </row>
    <row r="69" customFormat="false" ht="15" hidden="false" customHeight="false" outlineLevel="0" collapsed="false">
      <c r="A69" s="5" t="s">
        <v>455</v>
      </c>
      <c r="B69" s="5" t="s">
        <v>92</v>
      </c>
      <c r="C69" s="5" t="s">
        <v>456</v>
      </c>
      <c r="D69" s="5" t="s">
        <v>457</v>
      </c>
      <c r="E69" s="5" t="s">
        <v>243</v>
      </c>
      <c r="F69" s="5" t="s">
        <v>161</v>
      </c>
      <c r="G69" s="5" t="s">
        <v>458</v>
      </c>
      <c r="H69" s="5" t="s">
        <v>459</v>
      </c>
    </row>
    <row r="70" customFormat="false" ht="15" hidden="false" customHeight="false" outlineLevel="0" collapsed="false">
      <c r="A70" s="5" t="s">
        <v>460</v>
      </c>
      <c r="B70" s="5" t="s">
        <v>98</v>
      </c>
      <c r="C70" s="5" t="s">
        <v>461</v>
      </c>
      <c r="D70" s="5" t="s">
        <v>462</v>
      </c>
      <c r="E70" s="5" t="s">
        <v>147</v>
      </c>
      <c r="F70" s="5" t="s">
        <v>161</v>
      </c>
      <c r="G70" s="5" t="s">
        <v>463</v>
      </c>
      <c r="H70" s="5" t="s">
        <v>464</v>
      </c>
    </row>
    <row r="71" customFormat="false" ht="15" hidden="false" customHeight="false" outlineLevel="0" collapsed="false">
      <c r="A71" s="5" t="s">
        <v>465</v>
      </c>
      <c r="B71" s="5" t="s">
        <v>466</v>
      </c>
      <c r="C71" s="5" t="s">
        <v>11</v>
      </c>
      <c r="D71" s="5" t="s">
        <v>467</v>
      </c>
      <c r="E71" s="5" t="s">
        <v>201</v>
      </c>
      <c r="F71" s="5" t="s">
        <v>190</v>
      </c>
      <c r="G71" s="5" t="s">
        <v>468</v>
      </c>
      <c r="H71" s="5" t="s">
        <v>469</v>
      </c>
    </row>
    <row r="72" customFormat="false" ht="15" hidden="false" customHeight="false" outlineLevel="0" collapsed="false">
      <c r="A72" s="5" t="s">
        <v>470</v>
      </c>
      <c r="B72" s="5" t="s">
        <v>90</v>
      </c>
      <c r="C72" s="5" t="s">
        <v>91</v>
      </c>
      <c r="D72" s="5" t="s">
        <v>471</v>
      </c>
      <c r="E72" s="5" t="s">
        <v>154</v>
      </c>
      <c r="F72" s="5" t="s">
        <v>190</v>
      </c>
      <c r="G72" s="5" t="s">
        <v>472</v>
      </c>
      <c r="H72" s="5" t="s">
        <v>473</v>
      </c>
    </row>
    <row r="73" customFormat="false" ht="15" hidden="false" customHeight="false" outlineLevel="0" collapsed="false">
      <c r="A73" s="5" t="s">
        <v>474</v>
      </c>
      <c r="B73" s="5" t="s">
        <v>65</v>
      </c>
      <c r="C73" s="5" t="s">
        <v>475</v>
      </c>
      <c r="D73" s="5" t="s">
        <v>476</v>
      </c>
      <c r="E73" s="5" t="s">
        <v>195</v>
      </c>
      <c r="F73" s="5" t="s">
        <v>190</v>
      </c>
      <c r="G73" s="5" t="s">
        <v>477</v>
      </c>
      <c r="H73" s="5" t="s">
        <v>478</v>
      </c>
    </row>
    <row r="74" customFormat="false" ht="15" hidden="false" customHeight="false" outlineLevel="0" collapsed="false">
      <c r="A74" s="5" t="s">
        <v>479</v>
      </c>
      <c r="B74" s="5" t="s">
        <v>480</v>
      </c>
      <c r="C74" s="5" t="s">
        <v>344</v>
      </c>
      <c r="D74" s="5" t="s">
        <v>481</v>
      </c>
      <c r="E74" s="5" t="s">
        <v>243</v>
      </c>
      <c r="F74" s="5" t="s">
        <v>190</v>
      </c>
      <c r="G74" s="5" t="s">
        <v>482</v>
      </c>
      <c r="H74" s="5" t="s">
        <v>483</v>
      </c>
    </row>
    <row r="75" customFormat="false" ht="15" hidden="false" customHeight="false" outlineLevel="0" collapsed="false">
      <c r="A75" s="5" t="s">
        <v>484</v>
      </c>
      <c r="B75" s="5" t="s">
        <v>46</v>
      </c>
      <c r="C75" s="5" t="s">
        <v>485</v>
      </c>
      <c r="D75" s="5" t="s">
        <v>486</v>
      </c>
      <c r="E75" s="5" t="s">
        <v>195</v>
      </c>
      <c r="F75" s="5" t="s">
        <v>190</v>
      </c>
      <c r="G75" s="5" t="s">
        <v>487</v>
      </c>
      <c r="H75" s="5" t="s">
        <v>488</v>
      </c>
    </row>
    <row r="76" customFormat="false" ht="15" hidden="false" customHeight="false" outlineLevel="0" collapsed="false">
      <c r="A76" s="5" t="s">
        <v>489</v>
      </c>
      <c r="B76" s="5" t="s">
        <v>71</v>
      </c>
      <c r="C76" s="5" t="s">
        <v>490</v>
      </c>
      <c r="D76" s="5" t="s">
        <v>491</v>
      </c>
      <c r="E76" s="5" t="s">
        <v>147</v>
      </c>
      <c r="F76" s="5" t="s">
        <v>190</v>
      </c>
      <c r="G76" s="5" t="s">
        <v>492</v>
      </c>
      <c r="H76" s="5" t="s">
        <v>493</v>
      </c>
    </row>
    <row r="77" customFormat="false" ht="15" hidden="false" customHeight="false" outlineLevel="0" collapsed="false">
      <c r="A77" s="5" t="s">
        <v>494</v>
      </c>
      <c r="B77" s="5" t="s">
        <v>116</v>
      </c>
      <c r="C77" s="5" t="s">
        <v>117</v>
      </c>
      <c r="D77" s="5" t="s">
        <v>495</v>
      </c>
      <c r="E77" s="5" t="s">
        <v>243</v>
      </c>
      <c r="F77" s="5" t="s">
        <v>161</v>
      </c>
      <c r="G77" s="5" t="s">
        <v>496</v>
      </c>
      <c r="H77" s="5" t="s">
        <v>497</v>
      </c>
    </row>
    <row r="78" customFormat="false" ht="15" hidden="false" customHeight="false" outlineLevel="0" collapsed="false">
      <c r="A78" s="5" t="s">
        <v>498</v>
      </c>
      <c r="B78" s="5" t="s">
        <v>92</v>
      </c>
      <c r="C78" s="5" t="s">
        <v>499</v>
      </c>
      <c r="D78" s="5" t="s">
        <v>286</v>
      </c>
      <c r="E78" s="5" t="s">
        <v>176</v>
      </c>
      <c r="F78" s="5" t="s">
        <v>183</v>
      </c>
      <c r="G78" s="5" t="s">
        <v>500</v>
      </c>
      <c r="H78" s="5" t="s">
        <v>501</v>
      </c>
    </row>
    <row r="79" customFormat="false" ht="15" hidden="false" customHeight="false" outlineLevel="0" collapsed="false">
      <c r="A79" s="5" t="s">
        <v>502</v>
      </c>
      <c r="B79" s="5" t="s">
        <v>57</v>
      </c>
      <c r="C79" s="5" t="s">
        <v>503</v>
      </c>
      <c r="D79" s="5" t="s">
        <v>504</v>
      </c>
      <c r="E79" s="5" t="s">
        <v>195</v>
      </c>
      <c r="F79" s="5" t="s">
        <v>161</v>
      </c>
      <c r="G79" s="5" t="s">
        <v>505</v>
      </c>
      <c r="H79" s="5" t="s">
        <v>506</v>
      </c>
    </row>
    <row r="80" customFormat="false" ht="15" hidden="false" customHeight="false" outlineLevel="0" collapsed="false">
      <c r="A80" s="5" t="s">
        <v>507</v>
      </c>
      <c r="B80" s="5" t="s">
        <v>69</v>
      </c>
      <c r="C80" s="5" t="s">
        <v>508</v>
      </c>
      <c r="D80" s="5" t="s">
        <v>509</v>
      </c>
      <c r="E80" s="5" t="s">
        <v>154</v>
      </c>
      <c r="F80" s="5" t="s">
        <v>155</v>
      </c>
      <c r="G80" s="5" t="s">
        <v>510</v>
      </c>
      <c r="H80" s="5" t="s">
        <v>511</v>
      </c>
    </row>
    <row r="81" customFormat="false" ht="15" hidden="false" customHeight="false" outlineLevel="0" collapsed="false">
      <c r="A81" s="5" t="s">
        <v>512</v>
      </c>
      <c r="B81" s="5" t="s">
        <v>118</v>
      </c>
      <c r="C81" s="5" t="s">
        <v>267</v>
      </c>
      <c r="D81" s="5" t="s">
        <v>513</v>
      </c>
      <c r="E81" s="5" t="s">
        <v>171</v>
      </c>
      <c r="F81" s="5" t="s">
        <v>161</v>
      </c>
      <c r="G81" s="5" t="s">
        <v>514</v>
      </c>
      <c r="H81" s="5" t="s">
        <v>515</v>
      </c>
    </row>
    <row r="82" customFormat="false" ht="15" hidden="false" customHeight="false" outlineLevel="0" collapsed="false">
      <c r="A82" s="5" t="s">
        <v>516</v>
      </c>
      <c r="B82" s="5" t="s">
        <v>81</v>
      </c>
      <c r="C82" s="5" t="s">
        <v>82</v>
      </c>
      <c r="D82" s="5" t="s">
        <v>309</v>
      </c>
      <c r="E82" s="5" t="s">
        <v>243</v>
      </c>
      <c r="F82" s="5" t="s">
        <v>183</v>
      </c>
      <c r="G82" s="5" t="s">
        <v>517</v>
      </c>
      <c r="H82" s="5" t="s">
        <v>518</v>
      </c>
    </row>
    <row r="83" customFormat="false" ht="15" hidden="false" customHeight="false" outlineLevel="0" collapsed="false">
      <c r="A83" s="5" t="s">
        <v>519</v>
      </c>
      <c r="B83" s="5" t="s">
        <v>6</v>
      </c>
      <c r="C83" s="5" t="s">
        <v>152</v>
      </c>
      <c r="D83" s="5" t="s">
        <v>520</v>
      </c>
      <c r="E83" s="5" t="s">
        <v>154</v>
      </c>
      <c r="F83" s="5" t="s">
        <v>148</v>
      </c>
      <c r="G83" s="5" t="s">
        <v>521</v>
      </c>
      <c r="H83" s="5" t="s">
        <v>522</v>
      </c>
    </row>
    <row r="84" customFormat="false" ht="15" hidden="false" customHeight="false" outlineLevel="0" collapsed="false">
      <c r="A84" s="5" t="s">
        <v>523</v>
      </c>
      <c r="B84" s="5" t="s">
        <v>20</v>
      </c>
      <c r="C84" s="5" t="s">
        <v>524</v>
      </c>
      <c r="D84" s="5" t="s">
        <v>525</v>
      </c>
      <c r="E84" s="5" t="s">
        <v>195</v>
      </c>
      <c r="F84" s="5" t="s">
        <v>161</v>
      </c>
      <c r="G84" s="5" t="s">
        <v>526</v>
      </c>
      <c r="H84" s="5" t="s">
        <v>527</v>
      </c>
    </row>
    <row r="85" customFormat="false" ht="15" hidden="false" customHeight="false" outlineLevel="0" collapsed="false">
      <c r="A85" s="5" t="s">
        <v>528</v>
      </c>
      <c r="B85" s="5" t="s">
        <v>124</v>
      </c>
      <c r="C85" s="5" t="s">
        <v>125</v>
      </c>
      <c r="D85" s="5" t="s">
        <v>529</v>
      </c>
      <c r="E85" s="5" t="s">
        <v>182</v>
      </c>
      <c r="F85" s="5" t="s">
        <v>155</v>
      </c>
      <c r="G85" s="5" t="s">
        <v>530</v>
      </c>
      <c r="H85" s="5" t="s">
        <v>531</v>
      </c>
    </row>
    <row r="86" customFormat="false" ht="15" hidden="false" customHeight="false" outlineLevel="0" collapsed="false">
      <c r="A86" s="5" t="s">
        <v>532</v>
      </c>
      <c r="B86" s="5" t="s">
        <v>90</v>
      </c>
      <c r="C86" s="5" t="s">
        <v>533</v>
      </c>
      <c r="D86" s="5" t="s">
        <v>534</v>
      </c>
      <c r="E86" s="5" t="s">
        <v>189</v>
      </c>
      <c r="F86" s="5" t="s">
        <v>148</v>
      </c>
      <c r="G86" s="5" t="s">
        <v>535</v>
      </c>
      <c r="H86" s="5" t="s">
        <v>536</v>
      </c>
    </row>
    <row r="87" customFormat="false" ht="15" hidden="false" customHeight="false" outlineLevel="0" collapsed="false">
      <c r="A87" s="5" t="s">
        <v>537</v>
      </c>
      <c r="B87" s="5" t="s">
        <v>59</v>
      </c>
      <c r="C87" s="5" t="s">
        <v>447</v>
      </c>
      <c r="D87" s="5" t="s">
        <v>538</v>
      </c>
      <c r="E87" s="5" t="s">
        <v>243</v>
      </c>
      <c r="F87" s="5" t="s">
        <v>190</v>
      </c>
      <c r="G87" s="5" t="s">
        <v>539</v>
      </c>
      <c r="H87" s="5" t="s">
        <v>540</v>
      </c>
    </row>
    <row r="88" customFormat="false" ht="15" hidden="false" customHeight="false" outlineLevel="0" collapsed="false">
      <c r="A88" s="5" t="s">
        <v>541</v>
      </c>
      <c r="B88" s="5" t="s">
        <v>129</v>
      </c>
      <c r="C88" s="5" t="s">
        <v>130</v>
      </c>
      <c r="D88" s="5" t="s">
        <v>495</v>
      </c>
      <c r="E88" s="5" t="s">
        <v>171</v>
      </c>
      <c r="F88" s="5" t="s">
        <v>183</v>
      </c>
      <c r="G88" s="5" t="s">
        <v>542</v>
      </c>
      <c r="H88" s="5" t="s">
        <v>543</v>
      </c>
    </row>
    <row r="89" customFormat="false" ht="15" hidden="false" customHeight="false" outlineLevel="0" collapsed="false">
      <c r="A89" s="5" t="s">
        <v>544</v>
      </c>
      <c r="B89" s="5" t="s">
        <v>81</v>
      </c>
      <c r="C89" s="5" t="s">
        <v>545</v>
      </c>
      <c r="D89" s="5" t="s">
        <v>546</v>
      </c>
      <c r="E89" s="5" t="s">
        <v>147</v>
      </c>
      <c r="F89" s="5" t="s">
        <v>190</v>
      </c>
      <c r="G89" s="5" t="s">
        <v>547</v>
      </c>
      <c r="H89" s="5" t="s">
        <v>548</v>
      </c>
    </row>
    <row r="90" customFormat="false" ht="15" hidden="false" customHeight="false" outlineLevel="0" collapsed="false">
      <c r="A90" s="5" t="s">
        <v>549</v>
      </c>
      <c r="B90" s="5" t="s">
        <v>77</v>
      </c>
      <c r="C90" s="5" t="s">
        <v>257</v>
      </c>
      <c r="D90" s="5" t="s">
        <v>550</v>
      </c>
      <c r="E90" s="5" t="s">
        <v>171</v>
      </c>
      <c r="F90" s="5" t="s">
        <v>161</v>
      </c>
      <c r="G90" s="5" t="s">
        <v>551</v>
      </c>
      <c r="H90" s="5" t="s">
        <v>552</v>
      </c>
    </row>
    <row r="91" customFormat="false" ht="15" hidden="false" customHeight="false" outlineLevel="0" collapsed="false">
      <c r="A91" s="5" t="s">
        <v>553</v>
      </c>
      <c r="B91" s="5" t="s">
        <v>10</v>
      </c>
      <c r="C91" s="5" t="s">
        <v>554</v>
      </c>
      <c r="D91" s="5" t="s">
        <v>555</v>
      </c>
      <c r="E91" s="5" t="s">
        <v>147</v>
      </c>
      <c r="F91" s="5" t="s">
        <v>161</v>
      </c>
      <c r="G91" s="5" t="s">
        <v>556</v>
      </c>
      <c r="H91" s="5" t="s">
        <v>557</v>
      </c>
    </row>
    <row r="92" customFormat="false" ht="15" hidden="false" customHeight="false" outlineLevel="0" collapsed="false">
      <c r="A92" s="5" t="s">
        <v>558</v>
      </c>
      <c r="B92" s="5" t="s">
        <v>24</v>
      </c>
      <c r="C92" s="5" t="s">
        <v>187</v>
      </c>
      <c r="D92" s="5" t="s">
        <v>559</v>
      </c>
      <c r="E92" s="5" t="s">
        <v>195</v>
      </c>
      <c r="F92" s="5" t="s">
        <v>161</v>
      </c>
      <c r="G92" s="5" t="s">
        <v>560</v>
      </c>
      <c r="H92" s="5" t="s">
        <v>561</v>
      </c>
    </row>
    <row r="93" customFormat="false" ht="15" hidden="false" customHeight="false" outlineLevel="0" collapsed="false">
      <c r="A93" s="5" t="s">
        <v>562</v>
      </c>
      <c r="B93" s="5" t="s">
        <v>59</v>
      </c>
      <c r="C93" s="5" t="s">
        <v>60</v>
      </c>
      <c r="D93" s="5" t="s">
        <v>563</v>
      </c>
      <c r="E93" s="5" t="s">
        <v>154</v>
      </c>
      <c r="F93" s="5" t="s">
        <v>190</v>
      </c>
      <c r="G93" s="5" t="s">
        <v>564</v>
      </c>
      <c r="H93" s="5" t="s">
        <v>565</v>
      </c>
    </row>
    <row r="94" customFormat="false" ht="15" hidden="false" customHeight="false" outlineLevel="0" collapsed="false">
      <c r="A94" s="5" t="s">
        <v>566</v>
      </c>
      <c r="B94" s="5" t="s">
        <v>133</v>
      </c>
      <c r="C94" s="5" t="s">
        <v>88</v>
      </c>
      <c r="D94" s="5" t="s">
        <v>567</v>
      </c>
      <c r="E94" s="5" t="s">
        <v>171</v>
      </c>
      <c r="F94" s="5" t="s">
        <v>161</v>
      </c>
      <c r="G94" s="5" t="s">
        <v>568</v>
      </c>
      <c r="H94" s="5" t="s">
        <v>569</v>
      </c>
    </row>
    <row r="95" customFormat="false" ht="15" hidden="false" customHeight="false" outlineLevel="0" collapsed="false">
      <c r="A95" s="5" t="s">
        <v>570</v>
      </c>
      <c r="B95" s="5" t="s">
        <v>79</v>
      </c>
      <c r="C95" s="5" t="s">
        <v>80</v>
      </c>
      <c r="D95" s="5" t="s">
        <v>571</v>
      </c>
      <c r="E95" s="5" t="s">
        <v>201</v>
      </c>
      <c r="F95" s="5" t="s">
        <v>155</v>
      </c>
      <c r="G95" s="5" t="s">
        <v>572</v>
      </c>
      <c r="H95" s="5" t="s">
        <v>573</v>
      </c>
    </row>
    <row r="96" customFormat="false" ht="15" hidden="false" customHeight="false" outlineLevel="0" collapsed="false">
      <c r="A96" s="5" t="s">
        <v>574</v>
      </c>
      <c r="B96" s="5" t="s">
        <v>112</v>
      </c>
      <c r="C96" s="5" t="s">
        <v>575</v>
      </c>
      <c r="D96" s="5" t="s">
        <v>576</v>
      </c>
      <c r="E96" s="5" t="s">
        <v>176</v>
      </c>
      <c r="F96" s="5" t="s">
        <v>155</v>
      </c>
      <c r="G96" s="5" t="s">
        <v>577</v>
      </c>
      <c r="H96" s="5" t="s">
        <v>578</v>
      </c>
    </row>
    <row r="97" customFormat="false" ht="15" hidden="false" customHeight="false" outlineLevel="0" collapsed="false">
      <c r="A97" s="5" t="s">
        <v>579</v>
      </c>
      <c r="B97" s="5" t="s">
        <v>17</v>
      </c>
      <c r="C97" s="5" t="s">
        <v>18</v>
      </c>
      <c r="D97" s="5" t="s">
        <v>580</v>
      </c>
      <c r="E97" s="5" t="s">
        <v>201</v>
      </c>
      <c r="F97" s="5" t="s">
        <v>190</v>
      </c>
      <c r="G97" s="5" t="s">
        <v>581</v>
      </c>
      <c r="H97" s="5" t="s">
        <v>582</v>
      </c>
    </row>
    <row r="98" customFormat="false" ht="15" hidden="false" customHeight="false" outlineLevel="0" collapsed="false">
      <c r="A98" s="5" t="s">
        <v>583</v>
      </c>
      <c r="B98" s="5" t="s">
        <v>120</v>
      </c>
      <c r="C98" s="5" t="s">
        <v>121</v>
      </c>
      <c r="D98" s="5" t="s">
        <v>584</v>
      </c>
      <c r="E98" s="5" t="s">
        <v>147</v>
      </c>
      <c r="F98" s="5" t="s">
        <v>190</v>
      </c>
      <c r="G98" s="5" t="s">
        <v>585</v>
      </c>
      <c r="H98" s="5" t="s">
        <v>586</v>
      </c>
    </row>
    <row r="99" customFormat="false" ht="15" hidden="false" customHeight="false" outlineLevel="0" collapsed="false">
      <c r="A99" s="5" t="s">
        <v>587</v>
      </c>
      <c r="B99" s="5" t="s">
        <v>588</v>
      </c>
      <c r="C99" s="5" t="s">
        <v>490</v>
      </c>
      <c r="D99" s="5" t="s">
        <v>589</v>
      </c>
      <c r="E99" s="5" t="s">
        <v>160</v>
      </c>
      <c r="F99" s="5" t="s">
        <v>148</v>
      </c>
      <c r="G99" s="5" t="s">
        <v>590</v>
      </c>
      <c r="H99" s="5" t="s">
        <v>591</v>
      </c>
    </row>
    <row r="100" customFormat="false" ht="15" hidden="false" customHeight="false" outlineLevel="0" collapsed="false">
      <c r="A100" s="5" t="s">
        <v>592</v>
      </c>
      <c r="B100" s="5" t="s">
        <v>100</v>
      </c>
      <c r="C100" s="5" t="s">
        <v>101</v>
      </c>
      <c r="D100" s="5" t="s">
        <v>593</v>
      </c>
      <c r="E100" s="5" t="s">
        <v>195</v>
      </c>
      <c r="F100" s="5" t="s">
        <v>155</v>
      </c>
      <c r="G100" s="5" t="s">
        <v>594</v>
      </c>
      <c r="H100" s="5" t="s">
        <v>595</v>
      </c>
    </row>
    <row r="101" customFormat="false" ht="15" hidden="false" customHeight="false" outlineLevel="0" collapsed="false">
      <c r="A101" s="5" t="s">
        <v>596</v>
      </c>
      <c r="B101" s="5" t="s">
        <v>124</v>
      </c>
      <c r="C101" s="5" t="s">
        <v>597</v>
      </c>
      <c r="D101" s="5" t="s">
        <v>555</v>
      </c>
      <c r="E101" s="5" t="s">
        <v>182</v>
      </c>
      <c r="F101" s="5" t="s">
        <v>155</v>
      </c>
      <c r="G101" s="5" t="s">
        <v>598</v>
      </c>
      <c r="H101" s="5" t="s">
        <v>599</v>
      </c>
    </row>
    <row r="102" customFormat="false" ht="15" hidden="false" customHeight="false" outlineLevel="0" collapsed="false">
      <c r="A102" s="5" t="s">
        <v>600</v>
      </c>
      <c r="B102" s="5" t="s">
        <v>114</v>
      </c>
      <c r="C102" s="5" t="s">
        <v>145</v>
      </c>
      <c r="D102" s="5" t="s">
        <v>601</v>
      </c>
      <c r="E102" s="5" t="s">
        <v>171</v>
      </c>
      <c r="F102" s="5" t="s">
        <v>161</v>
      </c>
      <c r="G102" s="5" t="s">
        <v>602</v>
      </c>
      <c r="H102" s="5" t="s">
        <v>603</v>
      </c>
    </row>
    <row r="103" customFormat="false" ht="15" hidden="false" customHeight="false" outlineLevel="0" collapsed="false">
      <c r="A103" s="5" t="s">
        <v>604</v>
      </c>
      <c r="B103" s="5" t="s">
        <v>14</v>
      </c>
      <c r="C103" s="5" t="s">
        <v>15</v>
      </c>
      <c r="D103" s="5" t="s">
        <v>605</v>
      </c>
      <c r="E103" s="5" t="s">
        <v>201</v>
      </c>
      <c r="F103" s="5" t="s">
        <v>190</v>
      </c>
      <c r="G103" s="5" t="s">
        <v>606</v>
      </c>
      <c r="H103" s="5" t="s">
        <v>607</v>
      </c>
    </row>
    <row r="104" customFormat="false" ht="15" hidden="false" customHeight="false" outlineLevel="0" collapsed="false">
      <c r="A104" s="5" t="s">
        <v>608</v>
      </c>
      <c r="B104" s="5" t="s">
        <v>30</v>
      </c>
      <c r="C104" s="5" t="s">
        <v>609</v>
      </c>
      <c r="D104" s="5" t="s">
        <v>610</v>
      </c>
      <c r="E104" s="5" t="s">
        <v>182</v>
      </c>
      <c r="F104" s="5" t="s">
        <v>161</v>
      </c>
      <c r="G104" s="5" t="s">
        <v>611</v>
      </c>
      <c r="H104" s="5" t="s">
        <v>612</v>
      </c>
    </row>
    <row r="105" customFormat="false" ht="15" hidden="false" customHeight="false" outlineLevel="0" collapsed="false">
      <c r="A105" s="5" t="s">
        <v>613</v>
      </c>
      <c r="B105" s="5" t="s">
        <v>614</v>
      </c>
      <c r="C105" s="5" t="s">
        <v>615</v>
      </c>
      <c r="D105" s="5" t="s">
        <v>616</v>
      </c>
      <c r="E105" s="5" t="s">
        <v>154</v>
      </c>
      <c r="F105" s="5" t="s">
        <v>148</v>
      </c>
      <c r="G105" s="5" t="s">
        <v>617</v>
      </c>
      <c r="H105" s="5" t="s">
        <v>618</v>
      </c>
    </row>
    <row r="106" customFormat="false" ht="15" hidden="false" customHeight="false" outlineLevel="0" collapsed="false">
      <c r="A106" s="5" t="s">
        <v>619</v>
      </c>
      <c r="B106" s="5" t="s">
        <v>20</v>
      </c>
      <c r="C106" s="5" t="s">
        <v>524</v>
      </c>
      <c r="D106" s="5" t="s">
        <v>359</v>
      </c>
      <c r="E106" s="5" t="s">
        <v>176</v>
      </c>
      <c r="F106" s="5" t="s">
        <v>183</v>
      </c>
      <c r="G106" s="5" t="s">
        <v>620</v>
      </c>
      <c r="H106" s="5" t="s">
        <v>621</v>
      </c>
    </row>
    <row r="107" customFormat="false" ht="15" hidden="false" customHeight="false" outlineLevel="0" collapsed="false">
      <c r="A107" s="5" t="s">
        <v>622</v>
      </c>
      <c r="B107" s="5" t="s">
        <v>65</v>
      </c>
      <c r="C107" s="5" t="s">
        <v>623</v>
      </c>
      <c r="D107" s="5" t="s">
        <v>624</v>
      </c>
      <c r="E107" s="5" t="s">
        <v>243</v>
      </c>
      <c r="F107" s="5" t="s">
        <v>183</v>
      </c>
      <c r="G107" s="5" t="s">
        <v>625</v>
      </c>
      <c r="H107" s="5" t="s">
        <v>626</v>
      </c>
    </row>
    <row r="108" customFormat="false" ht="15" hidden="false" customHeight="false" outlineLevel="0" collapsed="false">
      <c r="A108" s="5" t="s">
        <v>627</v>
      </c>
      <c r="B108" s="5" t="s">
        <v>28</v>
      </c>
      <c r="C108" s="5" t="s">
        <v>628</v>
      </c>
      <c r="D108" s="5" t="s">
        <v>481</v>
      </c>
      <c r="E108" s="5" t="s">
        <v>201</v>
      </c>
      <c r="F108" s="5" t="s">
        <v>148</v>
      </c>
      <c r="G108" s="5" t="s">
        <v>629</v>
      </c>
      <c r="H108" s="5" t="s">
        <v>630</v>
      </c>
    </row>
    <row r="109" customFormat="false" ht="15" hidden="false" customHeight="false" outlineLevel="0" collapsed="false">
      <c r="A109" s="5" t="s">
        <v>631</v>
      </c>
      <c r="B109" s="5" t="s">
        <v>92</v>
      </c>
      <c r="C109" s="5" t="s">
        <v>407</v>
      </c>
      <c r="D109" s="5" t="s">
        <v>632</v>
      </c>
      <c r="E109" s="5" t="s">
        <v>176</v>
      </c>
      <c r="F109" s="5" t="s">
        <v>190</v>
      </c>
      <c r="G109" s="5" t="s">
        <v>633</v>
      </c>
      <c r="H109" s="5" t="s">
        <v>634</v>
      </c>
    </row>
    <row r="110" customFormat="false" ht="15" hidden="false" customHeight="false" outlineLevel="0" collapsed="false">
      <c r="A110" s="5" t="s">
        <v>635</v>
      </c>
      <c r="B110" s="5" t="s">
        <v>77</v>
      </c>
      <c r="C110" s="5" t="s">
        <v>636</v>
      </c>
      <c r="D110" s="5" t="s">
        <v>637</v>
      </c>
      <c r="E110" s="5" t="s">
        <v>154</v>
      </c>
      <c r="F110" s="5" t="s">
        <v>183</v>
      </c>
      <c r="G110" s="5" t="s">
        <v>638</v>
      </c>
      <c r="H110" s="5" t="s">
        <v>639</v>
      </c>
    </row>
    <row r="111" customFormat="false" ht="15" hidden="false" customHeight="false" outlineLevel="0" collapsed="false">
      <c r="A111" s="5" t="s">
        <v>640</v>
      </c>
      <c r="B111" s="5" t="s">
        <v>38</v>
      </c>
      <c r="C111" s="5" t="s">
        <v>39</v>
      </c>
      <c r="D111" s="5" t="s">
        <v>504</v>
      </c>
      <c r="E111" s="5" t="s">
        <v>243</v>
      </c>
      <c r="F111" s="5" t="s">
        <v>155</v>
      </c>
      <c r="G111" s="5" t="s">
        <v>641</v>
      </c>
      <c r="H111" s="5" t="s">
        <v>642</v>
      </c>
    </row>
    <row r="112" customFormat="false" ht="15" hidden="false" customHeight="false" outlineLevel="0" collapsed="false">
      <c r="A112" s="5" t="s">
        <v>643</v>
      </c>
      <c r="B112" s="5" t="s">
        <v>644</v>
      </c>
      <c r="C112" s="5" t="s">
        <v>121</v>
      </c>
      <c r="D112" s="5" t="s">
        <v>645</v>
      </c>
      <c r="E112" s="5" t="s">
        <v>176</v>
      </c>
      <c r="F112" s="5" t="s">
        <v>183</v>
      </c>
      <c r="G112" s="5" t="s">
        <v>646</v>
      </c>
      <c r="H112" s="5" t="s">
        <v>647</v>
      </c>
    </row>
    <row r="113" customFormat="false" ht="15" hidden="false" customHeight="false" outlineLevel="0" collapsed="false">
      <c r="A113" s="5" t="s">
        <v>648</v>
      </c>
      <c r="B113" s="5" t="s">
        <v>59</v>
      </c>
      <c r="C113" s="5" t="s">
        <v>60</v>
      </c>
      <c r="D113" s="5" t="s">
        <v>649</v>
      </c>
      <c r="E113" s="5" t="s">
        <v>147</v>
      </c>
      <c r="F113" s="5" t="s">
        <v>190</v>
      </c>
      <c r="G113" s="5" t="s">
        <v>650</v>
      </c>
      <c r="H113" s="5" t="s">
        <v>651</v>
      </c>
    </row>
    <row r="114" customFormat="false" ht="15" hidden="false" customHeight="false" outlineLevel="0" collapsed="false">
      <c r="A114" s="5" t="s">
        <v>652</v>
      </c>
      <c r="B114" s="5" t="s">
        <v>20</v>
      </c>
      <c r="C114" s="5" t="s">
        <v>524</v>
      </c>
      <c r="D114" s="5" t="s">
        <v>653</v>
      </c>
      <c r="E114" s="5" t="s">
        <v>189</v>
      </c>
      <c r="F114" s="5" t="s">
        <v>148</v>
      </c>
      <c r="G114" s="5" t="s">
        <v>654</v>
      </c>
      <c r="H114" s="5" t="s">
        <v>655</v>
      </c>
    </row>
    <row r="115" customFormat="false" ht="15" hidden="false" customHeight="false" outlineLevel="0" collapsed="false">
      <c r="A115" s="5" t="s">
        <v>656</v>
      </c>
      <c r="B115" s="5" t="s">
        <v>134</v>
      </c>
      <c r="C115" s="5" t="s">
        <v>135</v>
      </c>
      <c r="D115" s="5" t="s">
        <v>657</v>
      </c>
      <c r="E115" s="5" t="s">
        <v>182</v>
      </c>
      <c r="F115" s="5" t="s">
        <v>155</v>
      </c>
      <c r="G115" s="5" t="s">
        <v>658</v>
      </c>
      <c r="H115" s="5" t="s">
        <v>659</v>
      </c>
    </row>
    <row r="116" customFormat="false" ht="15" hidden="false" customHeight="false" outlineLevel="0" collapsed="false">
      <c r="A116" s="5" t="s">
        <v>660</v>
      </c>
      <c r="B116" s="5" t="s">
        <v>114</v>
      </c>
      <c r="C116" s="5" t="s">
        <v>115</v>
      </c>
      <c r="D116" s="5" t="s">
        <v>397</v>
      </c>
      <c r="E116" s="5" t="s">
        <v>189</v>
      </c>
      <c r="F116" s="5" t="s">
        <v>148</v>
      </c>
      <c r="G116" s="5" t="s">
        <v>661</v>
      </c>
      <c r="H116" s="5" t="s">
        <v>662</v>
      </c>
    </row>
    <row r="117" customFormat="false" ht="15" hidden="false" customHeight="false" outlineLevel="0" collapsed="false">
      <c r="A117" s="5" t="s">
        <v>663</v>
      </c>
      <c r="B117" s="5" t="s">
        <v>89</v>
      </c>
      <c r="C117" s="5" t="s">
        <v>262</v>
      </c>
      <c r="D117" s="5" t="s">
        <v>664</v>
      </c>
      <c r="E117" s="5" t="s">
        <v>182</v>
      </c>
      <c r="F117" s="5" t="s">
        <v>161</v>
      </c>
      <c r="G117" s="5" t="s">
        <v>665</v>
      </c>
      <c r="H117" s="5" t="s">
        <v>666</v>
      </c>
    </row>
    <row r="118" customFormat="false" ht="15" hidden="false" customHeight="false" outlineLevel="0" collapsed="false">
      <c r="A118" s="5" t="s">
        <v>667</v>
      </c>
      <c r="B118" s="5" t="s">
        <v>127</v>
      </c>
      <c r="C118" s="5" t="s">
        <v>378</v>
      </c>
      <c r="D118" s="5" t="s">
        <v>668</v>
      </c>
      <c r="E118" s="5" t="s">
        <v>243</v>
      </c>
      <c r="F118" s="5" t="s">
        <v>148</v>
      </c>
      <c r="G118" s="5" t="s">
        <v>669</v>
      </c>
      <c r="H118" s="5" t="s">
        <v>670</v>
      </c>
    </row>
    <row r="119" customFormat="false" ht="15" hidden="false" customHeight="false" outlineLevel="0" collapsed="false">
      <c r="A119" s="5" t="s">
        <v>671</v>
      </c>
      <c r="B119" s="5" t="s">
        <v>79</v>
      </c>
      <c r="C119" s="5" t="s">
        <v>252</v>
      </c>
      <c r="D119" s="5" t="s">
        <v>538</v>
      </c>
      <c r="E119" s="5" t="s">
        <v>176</v>
      </c>
      <c r="F119" s="5" t="s">
        <v>148</v>
      </c>
      <c r="G119" s="5" t="s">
        <v>672</v>
      </c>
      <c r="H119" s="5" t="s">
        <v>673</v>
      </c>
    </row>
    <row r="120" customFormat="false" ht="15" hidden="false" customHeight="false" outlineLevel="0" collapsed="false">
      <c r="A120" s="5" t="s">
        <v>674</v>
      </c>
      <c r="B120" s="5" t="s">
        <v>83</v>
      </c>
      <c r="C120" s="5" t="s">
        <v>84</v>
      </c>
      <c r="D120" s="5" t="s">
        <v>675</v>
      </c>
      <c r="E120" s="5" t="s">
        <v>171</v>
      </c>
      <c r="F120" s="5" t="s">
        <v>161</v>
      </c>
      <c r="G120" s="5" t="s">
        <v>676</v>
      </c>
      <c r="H120" s="5" t="s">
        <v>677</v>
      </c>
    </row>
    <row r="121" customFormat="false" ht="15" hidden="false" customHeight="false" outlineLevel="0" collapsed="false">
      <c r="A121" s="5" t="s">
        <v>678</v>
      </c>
      <c r="B121" s="5" t="s">
        <v>34</v>
      </c>
      <c r="C121" s="5" t="s">
        <v>679</v>
      </c>
      <c r="D121" s="5" t="s">
        <v>680</v>
      </c>
      <c r="E121" s="5" t="s">
        <v>243</v>
      </c>
      <c r="F121" s="5" t="s">
        <v>161</v>
      </c>
      <c r="G121" s="5" t="s">
        <v>681</v>
      </c>
      <c r="H121" s="5" t="s">
        <v>682</v>
      </c>
    </row>
    <row r="122" customFormat="false" ht="15" hidden="false" customHeight="false" outlineLevel="0" collapsed="false">
      <c r="A122" s="5" t="s">
        <v>683</v>
      </c>
      <c r="B122" s="5" t="s">
        <v>20</v>
      </c>
      <c r="C122" s="5" t="s">
        <v>524</v>
      </c>
      <c r="D122" s="5" t="s">
        <v>684</v>
      </c>
      <c r="E122" s="5" t="s">
        <v>182</v>
      </c>
      <c r="F122" s="5" t="s">
        <v>161</v>
      </c>
      <c r="G122" s="5" t="s">
        <v>685</v>
      </c>
      <c r="H122" s="5" t="s">
        <v>686</v>
      </c>
    </row>
    <row r="123" customFormat="false" ht="15" hidden="false" customHeight="false" outlineLevel="0" collapsed="false">
      <c r="A123" s="5" t="s">
        <v>687</v>
      </c>
      <c r="B123" s="5" t="s">
        <v>34</v>
      </c>
      <c r="C123" s="5" t="s">
        <v>679</v>
      </c>
      <c r="D123" s="5" t="s">
        <v>688</v>
      </c>
      <c r="E123" s="5" t="s">
        <v>182</v>
      </c>
      <c r="F123" s="5" t="s">
        <v>161</v>
      </c>
      <c r="G123" s="5" t="s">
        <v>689</v>
      </c>
      <c r="H123" s="5" t="s">
        <v>690</v>
      </c>
    </row>
    <row r="124" customFormat="false" ht="15" hidden="false" customHeight="false" outlineLevel="0" collapsed="false">
      <c r="A124" s="5" t="s">
        <v>691</v>
      </c>
      <c r="B124" s="5" t="s">
        <v>134</v>
      </c>
      <c r="C124" s="5" t="s">
        <v>692</v>
      </c>
      <c r="D124" s="5" t="s">
        <v>693</v>
      </c>
      <c r="E124" s="5" t="s">
        <v>201</v>
      </c>
      <c r="F124" s="5" t="s">
        <v>161</v>
      </c>
      <c r="G124" s="5" t="s">
        <v>694</v>
      </c>
      <c r="H124" s="5" t="s">
        <v>695</v>
      </c>
    </row>
    <row r="125" customFormat="false" ht="15" hidden="false" customHeight="false" outlineLevel="0" collapsed="false">
      <c r="A125" s="5" t="s">
        <v>696</v>
      </c>
      <c r="B125" s="5" t="s">
        <v>127</v>
      </c>
      <c r="C125" s="5" t="s">
        <v>378</v>
      </c>
      <c r="D125" s="5" t="s">
        <v>697</v>
      </c>
      <c r="E125" s="5" t="s">
        <v>147</v>
      </c>
      <c r="F125" s="5" t="s">
        <v>698</v>
      </c>
      <c r="G125" s="5" t="s">
        <v>699</v>
      </c>
      <c r="H125" s="5" t="s">
        <v>700</v>
      </c>
    </row>
    <row r="126" customFormat="false" ht="15" hidden="false" customHeight="false" outlineLevel="0" collapsed="false">
      <c r="A126" s="5" t="s">
        <v>701</v>
      </c>
      <c r="B126" s="5" t="s">
        <v>20</v>
      </c>
      <c r="C126" s="5" t="s">
        <v>702</v>
      </c>
      <c r="D126" s="5" t="s">
        <v>703</v>
      </c>
      <c r="E126" s="5" t="s">
        <v>189</v>
      </c>
      <c r="F126" s="5" t="s">
        <v>155</v>
      </c>
      <c r="G126" s="5" t="s">
        <v>704</v>
      </c>
      <c r="H126" s="5" t="s">
        <v>705</v>
      </c>
    </row>
    <row r="127" customFormat="false" ht="15" hidden="false" customHeight="false" outlineLevel="0" collapsed="false">
      <c r="A127" s="5" t="s">
        <v>706</v>
      </c>
      <c r="B127" s="5" t="s">
        <v>114</v>
      </c>
      <c r="C127" s="5" t="s">
        <v>145</v>
      </c>
      <c r="D127" s="5" t="s">
        <v>707</v>
      </c>
      <c r="E127" s="5" t="s">
        <v>160</v>
      </c>
      <c r="F127" s="5" t="s">
        <v>148</v>
      </c>
      <c r="G127" s="5" t="s">
        <v>708</v>
      </c>
      <c r="H127" s="5" t="s">
        <v>709</v>
      </c>
    </row>
    <row r="128" customFormat="false" ht="15" hidden="false" customHeight="false" outlineLevel="0" collapsed="false">
      <c r="A128" s="5" t="s">
        <v>710</v>
      </c>
      <c r="B128" s="5" t="s">
        <v>102</v>
      </c>
      <c r="C128" s="5" t="s">
        <v>103</v>
      </c>
      <c r="D128" s="5" t="s">
        <v>711</v>
      </c>
      <c r="E128" s="5" t="s">
        <v>154</v>
      </c>
      <c r="F128" s="5" t="s">
        <v>190</v>
      </c>
      <c r="G128" s="5" t="s">
        <v>712</v>
      </c>
      <c r="H128" s="5" t="s">
        <v>713</v>
      </c>
    </row>
    <row r="129" customFormat="false" ht="15" hidden="false" customHeight="false" outlineLevel="0" collapsed="false">
      <c r="A129" s="5" t="s">
        <v>714</v>
      </c>
      <c r="B129" s="5" t="s">
        <v>715</v>
      </c>
      <c r="C129" s="5" t="s">
        <v>716</v>
      </c>
      <c r="D129" s="5" t="s">
        <v>717</v>
      </c>
      <c r="E129" s="5" t="s">
        <v>160</v>
      </c>
      <c r="F129" s="5" t="s">
        <v>148</v>
      </c>
      <c r="G129" s="5" t="s">
        <v>718</v>
      </c>
      <c r="H129" s="5" t="s">
        <v>719</v>
      </c>
    </row>
    <row r="130" customFormat="false" ht="15" hidden="false" customHeight="false" outlineLevel="0" collapsed="false">
      <c r="A130" s="5" t="s">
        <v>720</v>
      </c>
      <c r="B130" s="5" t="s">
        <v>96</v>
      </c>
      <c r="C130" s="5" t="s">
        <v>97</v>
      </c>
      <c r="D130" s="5" t="s">
        <v>721</v>
      </c>
      <c r="E130" s="5" t="s">
        <v>182</v>
      </c>
      <c r="F130" s="5" t="s">
        <v>161</v>
      </c>
      <c r="G130" s="5" t="s">
        <v>722</v>
      </c>
      <c r="H130" s="5" t="s">
        <v>723</v>
      </c>
    </row>
    <row r="131" customFormat="false" ht="15" hidden="false" customHeight="false" outlineLevel="0" collapsed="false">
      <c r="A131" s="5" t="s">
        <v>724</v>
      </c>
      <c r="B131" s="5" t="s">
        <v>116</v>
      </c>
      <c r="C131" s="5" t="s">
        <v>213</v>
      </c>
      <c r="D131" s="5" t="s">
        <v>725</v>
      </c>
      <c r="E131" s="5" t="s">
        <v>171</v>
      </c>
      <c r="F131" s="5" t="s">
        <v>148</v>
      </c>
      <c r="G131" s="5" t="s">
        <v>726</v>
      </c>
      <c r="H131" s="5" t="s">
        <v>727</v>
      </c>
    </row>
    <row r="132" customFormat="false" ht="15" hidden="false" customHeight="false" outlineLevel="0" collapsed="false">
      <c r="A132" s="5" t="s">
        <v>400</v>
      </c>
      <c r="B132" s="5" t="s">
        <v>126</v>
      </c>
      <c r="C132" s="5" t="s">
        <v>401</v>
      </c>
      <c r="D132" s="5" t="s">
        <v>402</v>
      </c>
      <c r="E132" s="5" t="s">
        <v>176</v>
      </c>
      <c r="F132" s="5" t="s">
        <v>161</v>
      </c>
      <c r="G132" s="5" t="s">
        <v>403</v>
      </c>
      <c r="H132" s="5" t="s">
        <v>404</v>
      </c>
    </row>
    <row r="133" customFormat="false" ht="15" hidden="false" customHeight="false" outlineLevel="0" collapsed="false">
      <c r="A133" s="5" t="s">
        <v>728</v>
      </c>
      <c r="B133" s="5" t="s">
        <v>32</v>
      </c>
      <c r="C133" s="5" t="s">
        <v>33</v>
      </c>
      <c r="D133" s="5" t="s">
        <v>419</v>
      </c>
      <c r="E133" s="5" t="s">
        <v>176</v>
      </c>
      <c r="F133" s="5" t="s">
        <v>161</v>
      </c>
      <c r="G133" s="5" t="s">
        <v>729</v>
      </c>
      <c r="H133" s="5" t="s">
        <v>730</v>
      </c>
    </row>
    <row r="134" customFormat="false" ht="15" hidden="false" customHeight="false" outlineLevel="0" collapsed="false">
      <c r="A134" s="5" t="s">
        <v>731</v>
      </c>
      <c r="B134" s="5" t="s">
        <v>14</v>
      </c>
      <c r="C134" s="5" t="s">
        <v>732</v>
      </c>
      <c r="D134" s="5" t="s">
        <v>733</v>
      </c>
      <c r="E134" s="5" t="s">
        <v>171</v>
      </c>
      <c r="F134" s="5" t="s">
        <v>183</v>
      </c>
      <c r="G134" s="5" t="s">
        <v>734</v>
      </c>
      <c r="H134" s="5" t="s">
        <v>735</v>
      </c>
    </row>
    <row r="135" customFormat="false" ht="15" hidden="false" customHeight="false" outlineLevel="0" collapsed="false">
      <c r="A135" s="5" t="s">
        <v>736</v>
      </c>
      <c r="B135" s="5" t="s">
        <v>118</v>
      </c>
      <c r="C135" s="5" t="s">
        <v>119</v>
      </c>
      <c r="D135" s="5" t="s">
        <v>737</v>
      </c>
      <c r="E135" s="5" t="s">
        <v>189</v>
      </c>
      <c r="F135" s="5" t="s">
        <v>161</v>
      </c>
      <c r="G135" s="5" t="s">
        <v>738</v>
      </c>
      <c r="H135" s="5" t="s">
        <v>739</v>
      </c>
    </row>
    <row r="136" customFormat="false" ht="15" hidden="false" customHeight="false" outlineLevel="0" collapsed="false">
      <c r="A136" s="5" t="s">
        <v>740</v>
      </c>
      <c r="B136" s="5" t="s">
        <v>133</v>
      </c>
      <c r="C136" s="5" t="s">
        <v>262</v>
      </c>
      <c r="D136" s="5" t="s">
        <v>258</v>
      </c>
      <c r="E136" s="5" t="s">
        <v>171</v>
      </c>
      <c r="F136" s="5" t="s">
        <v>190</v>
      </c>
      <c r="G136" s="5" t="s">
        <v>741</v>
      </c>
      <c r="H136" s="5" t="s">
        <v>742</v>
      </c>
    </row>
    <row r="137" customFormat="false" ht="15" hidden="false" customHeight="false" outlineLevel="0" collapsed="false">
      <c r="A137" s="5" t="s">
        <v>743</v>
      </c>
      <c r="B137" s="5" t="s">
        <v>100</v>
      </c>
      <c r="C137" s="5" t="s">
        <v>744</v>
      </c>
      <c r="D137" s="5" t="s">
        <v>228</v>
      </c>
      <c r="E137" s="5" t="s">
        <v>201</v>
      </c>
      <c r="F137" s="5" t="s">
        <v>190</v>
      </c>
      <c r="G137" s="5" t="s">
        <v>745</v>
      </c>
      <c r="H137" s="5" t="s">
        <v>746</v>
      </c>
    </row>
    <row r="138" customFormat="false" ht="15" hidden="false" customHeight="false" outlineLevel="0" collapsed="false">
      <c r="A138" s="5" t="s">
        <v>747</v>
      </c>
      <c r="B138" s="5" t="s">
        <v>61</v>
      </c>
      <c r="C138" s="5" t="s">
        <v>62</v>
      </c>
      <c r="D138" s="5" t="s">
        <v>748</v>
      </c>
      <c r="E138" s="5" t="s">
        <v>147</v>
      </c>
      <c r="F138" s="5" t="s">
        <v>161</v>
      </c>
      <c r="G138" s="5" t="s">
        <v>749</v>
      </c>
      <c r="H138" s="5" t="s">
        <v>750</v>
      </c>
    </row>
    <row r="139" customFormat="false" ht="15" hidden="false" customHeight="false" outlineLevel="0" collapsed="false">
      <c r="A139" s="5" t="s">
        <v>751</v>
      </c>
      <c r="B139" s="5" t="s">
        <v>69</v>
      </c>
      <c r="C139" s="5" t="s">
        <v>752</v>
      </c>
      <c r="D139" s="5" t="s">
        <v>753</v>
      </c>
      <c r="E139" s="5" t="s">
        <v>171</v>
      </c>
      <c r="F139" s="5" t="s">
        <v>190</v>
      </c>
      <c r="G139" s="5" t="s">
        <v>754</v>
      </c>
      <c r="H139" s="5" t="s">
        <v>755</v>
      </c>
    </row>
    <row r="140" customFormat="false" ht="15" hidden="false" customHeight="false" outlineLevel="0" collapsed="false">
      <c r="A140" s="5" t="s">
        <v>756</v>
      </c>
      <c r="B140" s="5" t="s">
        <v>102</v>
      </c>
      <c r="C140" s="5" t="s">
        <v>233</v>
      </c>
      <c r="D140" s="5" t="s">
        <v>757</v>
      </c>
      <c r="E140" s="5" t="s">
        <v>195</v>
      </c>
      <c r="F140" s="5"/>
      <c r="G140" s="5" t="s">
        <v>758</v>
      </c>
      <c r="H140" s="5" t="s">
        <v>759</v>
      </c>
    </row>
    <row r="141" customFormat="false" ht="15" hidden="false" customHeight="false" outlineLevel="0" collapsed="false">
      <c r="A141" s="5" t="s">
        <v>760</v>
      </c>
      <c r="B141" s="5" t="s">
        <v>75</v>
      </c>
      <c r="C141" s="5" t="s">
        <v>76</v>
      </c>
      <c r="D141" s="5" t="s">
        <v>761</v>
      </c>
      <c r="E141" s="5" t="s">
        <v>195</v>
      </c>
      <c r="F141" s="5" t="s">
        <v>148</v>
      </c>
      <c r="G141" s="5" t="s">
        <v>762</v>
      </c>
      <c r="H141" s="5" t="s">
        <v>763</v>
      </c>
    </row>
    <row r="142" customFormat="false" ht="15" hidden="false" customHeight="false" outlineLevel="0" collapsed="false">
      <c r="A142" s="5" t="s">
        <v>764</v>
      </c>
      <c r="B142" s="5" t="s">
        <v>90</v>
      </c>
      <c r="C142" s="5" t="s">
        <v>91</v>
      </c>
      <c r="D142" s="5" t="s">
        <v>765</v>
      </c>
      <c r="E142" s="5" t="s">
        <v>171</v>
      </c>
      <c r="F142" s="5" t="s">
        <v>190</v>
      </c>
      <c r="G142" s="5" t="s">
        <v>766</v>
      </c>
      <c r="H142" s="5" t="s">
        <v>767</v>
      </c>
    </row>
    <row r="143" customFormat="false" ht="15" hidden="false" customHeight="false" outlineLevel="0" collapsed="false">
      <c r="A143" s="5" t="s">
        <v>768</v>
      </c>
      <c r="B143" s="5" t="s">
        <v>28</v>
      </c>
      <c r="C143" s="5" t="s">
        <v>29</v>
      </c>
      <c r="D143" s="5" t="s">
        <v>769</v>
      </c>
      <c r="E143" s="5" t="s">
        <v>160</v>
      </c>
      <c r="F143" s="5" t="s">
        <v>161</v>
      </c>
      <c r="G143" s="5" t="s">
        <v>770</v>
      </c>
      <c r="H143" s="5" t="s">
        <v>771</v>
      </c>
    </row>
    <row r="144" customFormat="false" ht="15" hidden="false" customHeight="false" outlineLevel="0" collapsed="false">
      <c r="A144" s="5" t="s">
        <v>772</v>
      </c>
      <c r="B144" s="5" t="s">
        <v>24</v>
      </c>
      <c r="C144" s="5" t="s">
        <v>295</v>
      </c>
      <c r="D144" s="5" t="s">
        <v>773</v>
      </c>
      <c r="E144" s="5" t="s">
        <v>176</v>
      </c>
      <c r="F144" s="5" t="s">
        <v>183</v>
      </c>
      <c r="G144" s="5" t="s">
        <v>774</v>
      </c>
      <c r="H144" s="5" t="s">
        <v>775</v>
      </c>
    </row>
    <row r="145" customFormat="false" ht="15" hidden="false" customHeight="false" outlineLevel="0" collapsed="false">
      <c r="A145" s="5" t="s">
        <v>776</v>
      </c>
      <c r="B145" s="5" t="s">
        <v>777</v>
      </c>
      <c r="C145" s="5" t="s">
        <v>373</v>
      </c>
      <c r="D145" s="5" t="s">
        <v>778</v>
      </c>
      <c r="E145" s="5" t="s">
        <v>189</v>
      </c>
      <c r="F145" s="5" t="s">
        <v>190</v>
      </c>
      <c r="G145" s="5" t="s">
        <v>779</v>
      </c>
      <c r="H145" s="5" t="s">
        <v>780</v>
      </c>
    </row>
    <row r="146" customFormat="false" ht="15" hidden="false" customHeight="false" outlineLevel="0" collapsed="false">
      <c r="A146" s="5" t="s">
        <v>781</v>
      </c>
      <c r="B146" s="5" t="s">
        <v>89</v>
      </c>
      <c r="C146" s="5" t="s">
        <v>782</v>
      </c>
      <c r="D146" s="5" t="s">
        <v>783</v>
      </c>
      <c r="E146" s="5" t="s">
        <v>160</v>
      </c>
      <c r="F146" s="5" t="s">
        <v>190</v>
      </c>
      <c r="G146" s="5" t="s">
        <v>784</v>
      </c>
      <c r="H146" s="5" t="s">
        <v>785</v>
      </c>
    </row>
    <row r="147" customFormat="false" ht="15" hidden="false" customHeight="false" outlineLevel="0" collapsed="false">
      <c r="A147" s="5" t="s">
        <v>786</v>
      </c>
      <c r="B147" s="5" t="s">
        <v>50</v>
      </c>
      <c r="C147" s="5" t="s">
        <v>247</v>
      </c>
      <c r="D147" s="5" t="s">
        <v>787</v>
      </c>
      <c r="E147" s="5" t="s">
        <v>176</v>
      </c>
      <c r="F147" s="5" t="s">
        <v>161</v>
      </c>
      <c r="G147" s="5" t="s">
        <v>788</v>
      </c>
      <c r="H147" s="5" t="s">
        <v>789</v>
      </c>
    </row>
    <row r="148" customFormat="false" ht="15" hidden="false" customHeight="false" outlineLevel="0" collapsed="false">
      <c r="A148" s="5" t="s">
        <v>790</v>
      </c>
      <c r="B148" s="5" t="s">
        <v>110</v>
      </c>
      <c r="C148" s="5" t="s">
        <v>791</v>
      </c>
      <c r="D148" s="5" t="s">
        <v>792</v>
      </c>
      <c r="E148" s="5" t="s">
        <v>189</v>
      </c>
      <c r="F148" s="5" t="s">
        <v>155</v>
      </c>
      <c r="G148" s="5" t="s">
        <v>793</v>
      </c>
      <c r="H148" s="5" t="s">
        <v>794</v>
      </c>
    </row>
    <row r="149" customFormat="false" ht="15" hidden="false" customHeight="false" outlineLevel="0" collapsed="false">
      <c r="A149" s="5" t="s">
        <v>795</v>
      </c>
      <c r="B149" s="5" t="s">
        <v>14</v>
      </c>
      <c r="C149" s="5" t="s">
        <v>796</v>
      </c>
      <c r="D149" s="5" t="s">
        <v>397</v>
      </c>
      <c r="E149" s="5" t="s">
        <v>147</v>
      </c>
      <c r="F149" s="5" t="s">
        <v>161</v>
      </c>
      <c r="G149" s="5" t="s">
        <v>797</v>
      </c>
      <c r="H149" s="5" t="s">
        <v>798</v>
      </c>
    </row>
    <row r="150" customFormat="false" ht="15" hidden="false" customHeight="false" outlineLevel="0" collapsed="false">
      <c r="A150" s="5" t="s">
        <v>799</v>
      </c>
      <c r="B150" s="5" t="s">
        <v>131</v>
      </c>
      <c r="C150" s="5" t="s">
        <v>132</v>
      </c>
      <c r="D150" s="5" t="s">
        <v>228</v>
      </c>
      <c r="E150" s="5" t="s">
        <v>160</v>
      </c>
      <c r="F150" s="5" t="s">
        <v>161</v>
      </c>
      <c r="G150" s="5" t="s">
        <v>800</v>
      </c>
      <c r="H150" s="5" t="s">
        <v>801</v>
      </c>
    </row>
    <row r="151" customFormat="false" ht="15" hidden="false" customHeight="false" outlineLevel="0" collapsed="false">
      <c r="A151" s="5" t="s">
        <v>802</v>
      </c>
      <c r="B151" s="5" t="s">
        <v>127</v>
      </c>
      <c r="C151" s="5" t="s">
        <v>803</v>
      </c>
      <c r="D151" s="5" t="s">
        <v>804</v>
      </c>
      <c r="E151" s="5" t="s">
        <v>189</v>
      </c>
      <c r="F151" s="5" t="s">
        <v>190</v>
      </c>
      <c r="G151" s="5" t="s">
        <v>805</v>
      </c>
      <c r="H151" s="5" t="s">
        <v>806</v>
      </c>
    </row>
    <row r="152" customFormat="false" ht="15" hidden="false" customHeight="false" outlineLevel="0" collapsed="false">
      <c r="A152" s="5" t="s">
        <v>807</v>
      </c>
      <c r="B152" s="5" t="s">
        <v>41</v>
      </c>
      <c r="C152" s="5" t="s">
        <v>42</v>
      </c>
      <c r="D152" s="5" t="s">
        <v>808</v>
      </c>
      <c r="E152" s="5" t="s">
        <v>195</v>
      </c>
      <c r="F152" s="5" t="s">
        <v>148</v>
      </c>
      <c r="G152" s="5" t="s">
        <v>809</v>
      </c>
      <c r="H152" s="5" t="s">
        <v>810</v>
      </c>
    </row>
    <row r="153" customFormat="false" ht="15" hidden="false" customHeight="false" outlineLevel="0" collapsed="false">
      <c r="A153" s="5" t="s">
        <v>811</v>
      </c>
      <c r="B153" s="5" t="s">
        <v>77</v>
      </c>
      <c r="C153" s="5" t="s">
        <v>257</v>
      </c>
      <c r="D153" s="5" t="s">
        <v>812</v>
      </c>
      <c r="E153" s="5" t="s">
        <v>243</v>
      </c>
      <c r="F153" s="5" t="s">
        <v>155</v>
      </c>
      <c r="G153" s="5" t="s">
        <v>813</v>
      </c>
      <c r="H153" s="5" t="s">
        <v>814</v>
      </c>
    </row>
    <row r="154" customFormat="false" ht="15" hidden="false" customHeight="false" outlineLevel="0" collapsed="false">
      <c r="A154" s="5" t="s">
        <v>815</v>
      </c>
      <c r="B154" s="5" t="s">
        <v>112</v>
      </c>
      <c r="C154" s="5" t="s">
        <v>816</v>
      </c>
      <c r="D154" s="5" t="s">
        <v>817</v>
      </c>
      <c r="E154" s="5" t="s">
        <v>154</v>
      </c>
      <c r="F154" s="5" t="s">
        <v>161</v>
      </c>
      <c r="G154" s="5" t="s">
        <v>818</v>
      </c>
      <c r="H154" s="5" t="s">
        <v>819</v>
      </c>
    </row>
    <row r="155" customFormat="false" ht="15" hidden="false" customHeight="false" outlineLevel="0" collapsed="false">
      <c r="A155" s="5" t="s">
        <v>820</v>
      </c>
      <c r="B155" s="5" t="s">
        <v>30</v>
      </c>
      <c r="C155" s="5" t="s">
        <v>31</v>
      </c>
      <c r="D155" s="5" t="s">
        <v>821</v>
      </c>
      <c r="E155" s="5" t="s">
        <v>154</v>
      </c>
      <c r="F155" s="5" t="s">
        <v>161</v>
      </c>
      <c r="G155" s="5" t="s">
        <v>822</v>
      </c>
      <c r="H155" s="5" t="s">
        <v>823</v>
      </c>
    </row>
    <row r="156" customFormat="false" ht="15" hidden="false" customHeight="false" outlineLevel="0" collapsed="false">
      <c r="A156" s="5" t="s">
        <v>824</v>
      </c>
      <c r="B156" s="5" t="s">
        <v>14</v>
      </c>
      <c r="C156" s="5" t="s">
        <v>15</v>
      </c>
      <c r="D156" s="5" t="s">
        <v>825</v>
      </c>
      <c r="E156" s="5" t="s">
        <v>160</v>
      </c>
      <c r="F156" s="5" t="s">
        <v>161</v>
      </c>
      <c r="G156" s="5" t="s">
        <v>826</v>
      </c>
      <c r="H156" s="5" t="s">
        <v>827</v>
      </c>
    </row>
    <row r="157" customFormat="false" ht="15" hidden="false" customHeight="false" outlineLevel="0" collapsed="false">
      <c r="A157" s="5" t="s">
        <v>828</v>
      </c>
      <c r="B157" s="5" t="s">
        <v>81</v>
      </c>
      <c r="C157" s="5" t="s">
        <v>545</v>
      </c>
      <c r="D157" s="5" t="s">
        <v>829</v>
      </c>
      <c r="E157" s="5" t="s">
        <v>189</v>
      </c>
      <c r="F157" s="5" t="s">
        <v>155</v>
      </c>
      <c r="G157" s="5" t="s">
        <v>830</v>
      </c>
      <c r="H157" s="5" t="s">
        <v>831</v>
      </c>
    </row>
    <row r="158" customFormat="false" ht="15" hidden="false" customHeight="false" outlineLevel="0" collapsed="false">
      <c r="A158" s="5" t="s">
        <v>832</v>
      </c>
      <c r="B158" s="5" t="s">
        <v>85</v>
      </c>
      <c r="C158" s="5" t="s">
        <v>86</v>
      </c>
      <c r="D158" s="5" t="s">
        <v>833</v>
      </c>
      <c r="E158" s="5" t="s">
        <v>182</v>
      </c>
      <c r="F158" s="5" t="s">
        <v>148</v>
      </c>
      <c r="G158" s="5" t="s">
        <v>834</v>
      </c>
      <c r="H158" s="5" t="s">
        <v>835</v>
      </c>
    </row>
    <row r="159" customFormat="false" ht="15" hidden="false" customHeight="false" outlineLevel="0" collapsed="false">
      <c r="A159" s="5" t="s">
        <v>836</v>
      </c>
      <c r="B159" s="5" t="s">
        <v>106</v>
      </c>
      <c r="C159" s="5" t="s">
        <v>105</v>
      </c>
      <c r="D159" s="5" t="s">
        <v>837</v>
      </c>
      <c r="E159" s="5" t="s">
        <v>195</v>
      </c>
      <c r="F159" s="5" t="s">
        <v>148</v>
      </c>
      <c r="G159" s="5" t="s">
        <v>838</v>
      </c>
      <c r="H159" s="5" t="s">
        <v>839</v>
      </c>
    </row>
    <row r="160" customFormat="false" ht="15" hidden="false" customHeight="false" outlineLevel="0" collapsed="false">
      <c r="A160" s="5" t="s">
        <v>840</v>
      </c>
      <c r="B160" s="5" t="s">
        <v>94</v>
      </c>
      <c r="C160" s="5" t="s">
        <v>95</v>
      </c>
      <c r="D160" s="5" t="s">
        <v>841</v>
      </c>
      <c r="E160" s="5" t="s">
        <v>195</v>
      </c>
      <c r="F160" s="5" t="s">
        <v>190</v>
      </c>
      <c r="G160" s="5" t="s">
        <v>842</v>
      </c>
      <c r="H160" s="5" t="s">
        <v>843</v>
      </c>
    </row>
    <row r="161" customFormat="false" ht="15" hidden="false" customHeight="false" outlineLevel="0" collapsed="false">
      <c r="A161" s="5" t="s">
        <v>844</v>
      </c>
      <c r="B161" s="5" t="s">
        <v>81</v>
      </c>
      <c r="C161" s="5" t="s">
        <v>845</v>
      </c>
      <c r="D161" s="5" t="s">
        <v>846</v>
      </c>
      <c r="E161" s="5" t="s">
        <v>201</v>
      </c>
      <c r="F161" s="5" t="s">
        <v>161</v>
      </c>
      <c r="G161" s="5" t="s">
        <v>847</v>
      </c>
      <c r="H161" s="5" t="s">
        <v>848</v>
      </c>
    </row>
    <row r="162" customFormat="false" ht="15" hidden="false" customHeight="false" outlineLevel="0" collapsed="false">
      <c r="A162" s="5" t="s">
        <v>849</v>
      </c>
      <c r="B162" s="5" t="s">
        <v>30</v>
      </c>
      <c r="C162" s="5" t="s">
        <v>609</v>
      </c>
      <c r="D162" s="5" t="s">
        <v>850</v>
      </c>
      <c r="E162" s="5" t="s">
        <v>147</v>
      </c>
      <c r="F162" s="5" t="s">
        <v>155</v>
      </c>
      <c r="G162" s="5" t="s">
        <v>851</v>
      </c>
      <c r="H162" s="5" t="s">
        <v>852</v>
      </c>
    </row>
    <row r="163" customFormat="false" ht="15" hidden="false" customHeight="false" outlineLevel="0" collapsed="false">
      <c r="A163" s="5" t="s">
        <v>853</v>
      </c>
      <c r="B163" s="5" t="s">
        <v>134</v>
      </c>
      <c r="C163" s="5" t="s">
        <v>169</v>
      </c>
      <c r="D163" s="5" t="s">
        <v>854</v>
      </c>
      <c r="E163" s="5" t="s">
        <v>147</v>
      </c>
      <c r="F163" s="5" t="s">
        <v>148</v>
      </c>
      <c r="G163" s="5" t="s">
        <v>855</v>
      </c>
      <c r="H163" s="5" t="s">
        <v>856</v>
      </c>
    </row>
    <row r="164" customFormat="false" ht="15" hidden="false" customHeight="false" outlineLevel="0" collapsed="false">
      <c r="A164" s="5" t="s">
        <v>857</v>
      </c>
      <c r="B164" s="5" t="s">
        <v>71</v>
      </c>
      <c r="C164" s="5" t="s">
        <v>858</v>
      </c>
      <c r="D164" s="5" t="s">
        <v>859</v>
      </c>
      <c r="E164" s="5" t="s">
        <v>195</v>
      </c>
      <c r="F164" s="5" t="s">
        <v>161</v>
      </c>
      <c r="G164" s="5" t="s">
        <v>860</v>
      </c>
      <c r="H164" s="5" t="s">
        <v>861</v>
      </c>
    </row>
    <row r="165" customFormat="false" ht="15" hidden="false" customHeight="false" outlineLevel="0" collapsed="false">
      <c r="A165" s="5" t="s">
        <v>862</v>
      </c>
      <c r="B165" s="5" t="s">
        <v>61</v>
      </c>
      <c r="C165" s="5" t="s">
        <v>863</v>
      </c>
      <c r="D165" s="5" t="s">
        <v>864</v>
      </c>
      <c r="E165" s="5" t="s">
        <v>182</v>
      </c>
      <c r="F165" s="5"/>
      <c r="G165" s="5" t="s">
        <v>865</v>
      </c>
      <c r="H165" s="5" t="s">
        <v>866</v>
      </c>
    </row>
    <row r="166" customFormat="false" ht="15" hidden="false" customHeight="false" outlineLevel="0" collapsed="false">
      <c r="A166" s="5" t="s">
        <v>867</v>
      </c>
      <c r="B166" s="5" t="s">
        <v>57</v>
      </c>
      <c r="C166" s="5" t="s">
        <v>58</v>
      </c>
      <c r="D166" s="5" t="s">
        <v>868</v>
      </c>
      <c r="E166" s="5" t="s">
        <v>201</v>
      </c>
      <c r="F166" s="5" t="s">
        <v>190</v>
      </c>
      <c r="G166" s="5" t="s">
        <v>869</v>
      </c>
      <c r="H166" s="5" t="s">
        <v>870</v>
      </c>
    </row>
    <row r="167" customFormat="false" ht="15" hidden="false" customHeight="false" outlineLevel="0" collapsed="false">
      <c r="A167" s="5" t="s">
        <v>871</v>
      </c>
      <c r="B167" s="5" t="s">
        <v>67</v>
      </c>
      <c r="C167" s="5" t="s">
        <v>872</v>
      </c>
      <c r="D167" s="5" t="s">
        <v>873</v>
      </c>
      <c r="E167" s="5" t="s">
        <v>201</v>
      </c>
      <c r="F167" s="5"/>
      <c r="G167" s="5" t="s">
        <v>874</v>
      </c>
      <c r="H167" s="5" t="s">
        <v>875</v>
      </c>
    </row>
    <row r="168" customFormat="false" ht="15" hidden="false" customHeight="false" outlineLevel="0" collapsed="false">
      <c r="A168" s="5" t="s">
        <v>876</v>
      </c>
      <c r="B168" s="5" t="s">
        <v>124</v>
      </c>
      <c r="C168" s="5" t="s">
        <v>123</v>
      </c>
      <c r="D168" s="5" t="s">
        <v>877</v>
      </c>
      <c r="E168" s="5" t="s">
        <v>182</v>
      </c>
      <c r="F168" s="5" t="s">
        <v>148</v>
      </c>
      <c r="G168" s="5" t="s">
        <v>878</v>
      </c>
      <c r="H168" s="5" t="s">
        <v>879</v>
      </c>
    </row>
    <row r="169" customFormat="false" ht="15" hidden="false" customHeight="false" outlineLevel="0" collapsed="false">
      <c r="A169" s="5" t="s">
        <v>880</v>
      </c>
      <c r="B169" s="5" t="s">
        <v>102</v>
      </c>
      <c r="C169" s="5" t="s">
        <v>881</v>
      </c>
      <c r="D169" s="5" t="s">
        <v>882</v>
      </c>
      <c r="E169" s="5" t="s">
        <v>171</v>
      </c>
      <c r="F169" s="5" t="s">
        <v>190</v>
      </c>
      <c r="G169" s="5" t="s">
        <v>883</v>
      </c>
      <c r="H169" s="5" t="s">
        <v>884</v>
      </c>
    </row>
    <row r="170" customFormat="false" ht="15" hidden="false" customHeight="false" outlineLevel="0" collapsed="false">
      <c r="A170" s="5" t="s">
        <v>885</v>
      </c>
      <c r="B170" s="5" t="s">
        <v>6</v>
      </c>
      <c r="C170" s="5" t="s">
        <v>886</v>
      </c>
      <c r="D170" s="5" t="s">
        <v>887</v>
      </c>
      <c r="E170" s="5" t="s">
        <v>195</v>
      </c>
      <c r="F170" s="5" t="s">
        <v>155</v>
      </c>
      <c r="G170" s="5" t="s">
        <v>888</v>
      </c>
      <c r="H170" s="5" t="s">
        <v>889</v>
      </c>
    </row>
    <row r="171" customFormat="false" ht="15" hidden="false" customHeight="false" outlineLevel="0" collapsed="false">
      <c r="A171" s="5" t="s">
        <v>890</v>
      </c>
      <c r="B171" s="5" t="s">
        <v>52</v>
      </c>
      <c r="C171" s="5" t="s">
        <v>891</v>
      </c>
      <c r="D171" s="5" t="s">
        <v>892</v>
      </c>
      <c r="E171" s="5" t="s">
        <v>176</v>
      </c>
      <c r="F171" s="5" t="s">
        <v>190</v>
      </c>
      <c r="G171" s="5" t="s">
        <v>893</v>
      </c>
      <c r="H171" s="5" t="s">
        <v>894</v>
      </c>
    </row>
    <row r="172" customFormat="false" ht="15" hidden="false" customHeight="false" outlineLevel="0" collapsed="false">
      <c r="A172" s="5" t="s">
        <v>895</v>
      </c>
      <c r="B172" s="5" t="s">
        <v>896</v>
      </c>
      <c r="C172" s="5" t="s">
        <v>485</v>
      </c>
      <c r="D172" s="5" t="s">
        <v>897</v>
      </c>
      <c r="E172" s="5" t="s">
        <v>154</v>
      </c>
      <c r="F172" s="5" t="s">
        <v>183</v>
      </c>
      <c r="G172" s="5" t="s">
        <v>898</v>
      </c>
      <c r="H172" s="5" t="s">
        <v>899</v>
      </c>
    </row>
    <row r="173" customFormat="false" ht="15" hidden="false" customHeight="false" outlineLevel="0" collapsed="false">
      <c r="A173" s="5" t="s">
        <v>900</v>
      </c>
      <c r="B173" s="5" t="s">
        <v>134</v>
      </c>
      <c r="C173" s="5" t="s">
        <v>692</v>
      </c>
      <c r="D173" s="5" t="s">
        <v>901</v>
      </c>
      <c r="E173" s="5" t="s">
        <v>189</v>
      </c>
      <c r="F173" s="5" t="s">
        <v>190</v>
      </c>
      <c r="G173" s="5" t="s">
        <v>902</v>
      </c>
      <c r="H173" s="5" t="s">
        <v>903</v>
      </c>
    </row>
    <row r="174" customFormat="false" ht="15" hidden="false" customHeight="false" outlineLevel="0" collapsed="false">
      <c r="A174" s="5" t="s">
        <v>904</v>
      </c>
      <c r="B174" s="5" t="s">
        <v>905</v>
      </c>
      <c r="C174" s="5" t="s">
        <v>66</v>
      </c>
      <c r="D174" s="5" t="s">
        <v>906</v>
      </c>
      <c r="E174" s="5" t="s">
        <v>189</v>
      </c>
      <c r="F174" s="5" t="s">
        <v>148</v>
      </c>
      <c r="G174" s="5" t="s">
        <v>907</v>
      </c>
      <c r="H174" s="5" t="s">
        <v>908</v>
      </c>
    </row>
    <row r="175" customFormat="false" ht="15" hidden="false" customHeight="false" outlineLevel="0" collapsed="false">
      <c r="A175" s="5" t="s">
        <v>909</v>
      </c>
      <c r="B175" s="5" t="s">
        <v>38</v>
      </c>
      <c r="C175" s="5" t="s">
        <v>615</v>
      </c>
      <c r="D175" s="5" t="s">
        <v>910</v>
      </c>
      <c r="E175" s="5" t="s">
        <v>182</v>
      </c>
      <c r="F175" s="5"/>
      <c r="G175" s="5" t="s">
        <v>911</v>
      </c>
      <c r="H175" s="5" t="s">
        <v>912</v>
      </c>
    </row>
    <row r="176" customFormat="false" ht="15" hidden="false" customHeight="false" outlineLevel="0" collapsed="false">
      <c r="A176" s="5" t="s">
        <v>913</v>
      </c>
      <c r="B176" s="5" t="s">
        <v>63</v>
      </c>
      <c r="C176" s="5" t="s">
        <v>914</v>
      </c>
      <c r="D176" s="5" t="s">
        <v>812</v>
      </c>
      <c r="E176" s="5" t="s">
        <v>160</v>
      </c>
      <c r="F176" s="5" t="s">
        <v>190</v>
      </c>
      <c r="G176" s="5" t="s">
        <v>915</v>
      </c>
      <c r="H176" s="5" t="s">
        <v>916</v>
      </c>
    </row>
    <row r="177" customFormat="false" ht="15" hidden="false" customHeight="false" outlineLevel="0" collapsed="false">
      <c r="A177" s="5" t="s">
        <v>917</v>
      </c>
      <c r="B177" s="5" t="s">
        <v>65</v>
      </c>
      <c r="C177" s="5" t="s">
        <v>475</v>
      </c>
      <c r="D177" s="5" t="s">
        <v>529</v>
      </c>
      <c r="E177" s="5" t="s">
        <v>147</v>
      </c>
      <c r="F177" s="5" t="s">
        <v>183</v>
      </c>
      <c r="G177" s="5" t="s">
        <v>918</v>
      </c>
      <c r="H177" s="5" t="s">
        <v>919</v>
      </c>
    </row>
    <row r="178" customFormat="false" ht="15" hidden="false" customHeight="false" outlineLevel="0" collapsed="false">
      <c r="A178" s="5" t="s">
        <v>920</v>
      </c>
      <c r="B178" s="5" t="s">
        <v>921</v>
      </c>
      <c r="C178" s="5" t="s">
        <v>922</v>
      </c>
      <c r="D178" s="5" t="s">
        <v>923</v>
      </c>
      <c r="E178" s="5" t="s">
        <v>160</v>
      </c>
      <c r="F178" s="5" t="s">
        <v>161</v>
      </c>
      <c r="G178" s="5" t="s">
        <v>924</v>
      </c>
      <c r="H178" s="5" t="s">
        <v>925</v>
      </c>
    </row>
    <row r="179" customFormat="false" ht="15" hidden="false" customHeight="false" outlineLevel="0" collapsed="false">
      <c r="A179" s="5" t="s">
        <v>926</v>
      </c>
      <c r="B179" s="5" t="s">
        <v>67</v>
      </c>
      <c r="C179" s="5" t="s">
        <v>68</v>
      </c>
      <c r="D179" s="5" t="s">
        <v>927</v>
      </c>
      <c r="E179" s="5" t="s">
        <v>171</v>
      </c>
      <c r="F179" s="5" t="s">
        <v>161</v>
      </c>
      <c r="G179" s="5" t="s">
        <v>928</v>
      </c>
      <c r="H179" s="5" t="s">
        <v>929</v>
      </c>
    </row>
    <row r="180" customFormat="false" ht="15" hidden="false" customHeight="false" outlineLevel="0" collapsed="false">
      <c r="A180" s="5" t="s">
        <v>930</v>
      </c>
      <c r="B180" s="5" t="s">
        <v>126</v>
      </c>
      <c r="C180" s="5" t="s">
        <v>931</v>
      </c>
      <c r="D180" s="5" t="s">
        <v>932</v>
      </c>
      <c r="E180" s="5" t="s">
        <v>147</v>
      </c>
      <c r="F180" s="5" t="s">
        <v>161</v>
      </c>
      <c r="G180" s="5" t="s">
        <v>933</v>
      </c>
      <c r="H180" s="5" t="s">
        <v>934</v>
      </c>
    </row>
    <row r="181" customFormat="false" ht="15" hidden="false" customHeight="false" outlineLevel="0" collapsed="false">
      <c r="A181" s="5" t="s">
        <v>935</v>
      </c>
      <c r="B181" s="5" t="s">
        <v>69</v>
      </c>
      <c r="C181" s="5" t="s">
        <v>508</v>
      </c>
      <c r="D181" s="5" t="s">
        <v>936</v>
      </c>
      <c r="E181" s="5" t="s">
        <v>195</v>
      </c>
      <c r="F181" s="5" t="s">
        <v>161</v>
      </c>
      <c r="G181" s="5" t="s">
        <v>937</v>
      </c>
      <c r="H181" s="5" t="s">
        <v>938</v>
      </c>
    </row>
    <row r="182" customFormat="false" ht="15" hidden="false" customHeight="false" outlineLevel="0" collapsed="false">
      <c r="A182" s="5" t="s">
        <v>939</v>
      </c>
      <c r="B182" s="5" t="s">
        <v>940</v>
      </c>
      <c r="C182" s="5" t="s">
        <v>49</v>
      </c>
      <c r="D182" s="5" t="s">
        <v>941</v>
      </c>
      <c r="E182" s="5" t="s">
        <v>201</v>
      </c>
      <c r="F182" s="5" t="s">
        <v>190</v>
      </c>
      <c r="G182" s="5" t="s">
        <v>942</v>
      </c>
      <c r="H182" s="5" t="s">
        <v>943</v>
      </c>
    </row>
    <row r="183" customFormat="false" ht="15" hidden="false" customHeight="false" outlineLevel="0" collapsed="false">
      <c r="A183" s="5" t="s">
        <v>944</v>
      </c>
      <c r="B183" s="5" t="s">
        <v>102</v>
      </c>
      <c r="C183" s="5" t="s">
        <v>945</v>
      </c>
      <c r="D183" s="5" t="s">
        <v>946</v>
      </c>
      <c r="E183" s="5" t="s">
        <v>195</v>
      </c>
      <c r="F183" s="5" t="s">
        <v>190</v>
      </c>
      <c r="G183" s="5" t="s">
        <v>947</v>
      </c>
      <c r="H183" s="5" t="s">
        <v>948</v>
      </c>
    </row>
    <row r="184" customFormat="false" ht="15" hidden="false" customHeight="false" outlineLevel="0" collapsed="false">
      <c r="A184" s="5" t="s">
        <v>949</v>
      </c>
      <c r="B184" s="5" t="s">
        <v>98</v>
      </c>
      <c r="C184" s="5" t="s">
        <v>950</v>
      </c>
      <c r="D184" s="5" t="s">
        <v>951</v>
      </c>
      <c r="E184" s="5" t="s">
        <v>195</v>
      </c>
      <c r="F184" s="5" t="s">
        <v>161</v>
      </c>
      <c r="G184" s="5" t="s">
        <v>952</v>
      </c>
      <c r="H184" s="5" t="s">
        <v>953</v>
      </c>
    </row>
    <row r="185" customFormat="false" ht="15" hidden="false" customHeight="false" outlineLevel="0" collapsed="false">
      <c r="A185" s="5" t="s">
        <v>954</v>
      </c>
      <c r="B185" s="5" t="s">
        <v>87</v>
      </c>
      <c r="C185" s="5" t="s">
        <v>262</v>
      </c>
      <c r="D185" s="5" t="s">
        <v>555</v>
      </c>
      <c r="E185" s="5" t="s">
        <v>147</v>
      </c>
      <c r="F185" s="5" t="s">
        <v>183</v>
      </c>
      <c r="G185" s="5" t="s">
        <v>955</v>
      </c>
      <c r="H185" s="5" t="s">
        <v>956</v>
      </c>
    </row>
    <row r="186" customFormat="false" ht="15" hidden="false" customHeight="false" outlineLevel="0" collapsed="false">
      <c r="A186" s="5" t="s">
        <v>957</v>
      </c>
      <c r="B186" s="5" t="s">
        <v>57</v>
      </c>
      <c r="C186" s="5" t="s">
        <v>503</v>
      </c>
      <c r="D186" s="5" t="s">
        <v>958</v>
      </c>
      <c r="E186" s="5" t="s">
        <v>171</v>
      </c>
      <c r="F186" s="5" t="s">
        <v>190</v>
      </c>
      <c r="G186" s="5" t="s">
        <v>959</v>
      </c>
      <c r="H186" s="5" t="s">
        <v>960</v>
      </c>
    </row>
    <row r="187" customFormat="false" ht="15" hidden="false" customHeight="false" outlineLevel="0" collapsed="false">
      <c r="A187" s="5" t="s">
        <v>961</v>
      </c>
      <c r="B187" s="5" t="s">
        <v>112</v>
      </c>
      <c r="C187" s="5" t="s">
        <v>113</v>
      </c>
      <c r="D187" s="5" t="s">
        <v>442</v>
      </c>
      <c r="E187" s="5" t="s">
        <v>176</v>
      </c>
      <c r="F187" s="5" t="s">
        <v>183</v>
      </c>
      <c r="G187" s="5" t="s">
        <v>962</v>
      </c>
      <c r="H187" s="5" t="s">
        <v>963</v>
      </c>
    </row>
    <row r="188" customFormat="false" ht="15" hidden="false" customHeight="false" outlineLevel="0" collapsed="false">
      <c r="A188" s="5" t="s">
        <v>964</v>
      </c>
      <c r="B188" s="5" t="s">
        <v>124</v>
      </c>
      <c r="C188" s="5" t="s">
        <v>125</v>
      </c>
      <c r="D188" s="5" t="s">
        <v>234</v>
      </c>
      <c r="E188" s="5" t="s">
        <v>160</v>
      </c>
      <c r="F188" s="5" t="s">
        <v>190</v>
      </c>
      <c r="G188" s="5" t="s">
        <v>965</v>
      </c>
      <c r="H188" s="5" t="s">
        <v>966</v>
      </c>
    </row>
    <row r="189" customFormat="false" ht="15" hidden="false" customHeight="false" outlineLevel="0" collapsed="false">
      <c r="A189" s="5" t="s">
        <v>967</v>
      </c>
      <c r="B189" s="5" t="s">
        <v>20</v>
      </c>
      <c r="C189" s="5" t="s">
        <v>21</v>
      </c>
      <c r="D189" s="5" t="s">
        <v>717</v>
      </c>
      <c r="E189" s="5" t="s">
        <v>176</v>
      </c>
      <c r="F189" s="5" t="s">
        <v>183</v>
      </c>
      <c r="G189" s="5" t="s">
        <v>968</v>
      </c>
      <c r="H189" s="5" t="s">
        <v>969</v>
      </c>
    </row>
    <row r="190" customFormat="false" ht="15" hidden="false" customHeight="false" outlineLevel="0" collapsed="false">
      <c r="A190" s="5" t="s">
        <v>970</v>
      </c>
      <c r="B190" s="5" t="s">
        <v>971</v>
      </c>
      <c r="C190" s="5" t="s">
        <v>972</v>
      </c>
      <c r="D190" s="5" t="s">
        <v>973</v>
      </c>
      <c r="E190" s="5" t="s">
        <v>201</v>
      </c>
      <c r="F190" s="5" t="s">
        <v>161</v>
      </c>
      <c r="G190" s="5" t="s">
        <v>974</v>
      </c>
      <c r="H190" s="5" t="s">
        <v>975</v>
      </c>
    </row>
    <row r="191" customFormat="false" ht="15" hidden="false" customHeight="false" outlineLevel="0" collapsed="false">
      <c r="A191" s="5" t="s">
        <v>976</v>
      </c>
      <c r="B191" s="5" t="s">
        <v>30</v>
      </c>
      <c r="C191" s="5" t="s">
        <v>29</v>
      </c>
      <c r="D191" s="5" t="s">
        <v>977</v>
      </c>
      <c r="E191" s="5" t="s">
        <v>189</v>
      </c>
      <c r="F191" s="5" t="s">
        <v>190</v>
      </c>
      <c r="G191" s="5" t="s">
        <v>978</v>
      </c>
      <c r="H191" s="5" t="s">
        <v>979</v>
      </c>
    </row>
    <row r="192" customFormat="false" ht="15" hidden="false" customHeight="false" outlineLevel="0" collapsed="false">
      <c r="A192" s="5" t="s">
        <v>980</v>
      </c>
      <c r="B192" s="5" t="s">
        <v>69</v>
      </c>
      <c r="C192" s="5" t="s">
        <v>508</v>
      </c>
      <c r="D192" s="5" t="s">
        <v>981</v>
      </c>
      <c r="E192" s="5" t="s">
        <v>182</v>
      </c>
      <c r="F192" s="5" t="s">
        <v>155</v>
      </c>
      <c r="G192" s="5" t="s">
        <v>982</v>
      </c>
      <c r="H192" s="5" t="s">
        <v>983</v>
      </c>
    </row>
    <row r="193" customFormat="false" ht="15" hidden="false" customHeight="false" outlineLevel="0" collapsed="false">
      <c r="A193" s="5" t="s">
        <v>984</v>
      </c>
      <c r="B193" s="5" t="s">
        <v>52</v>
      </c>
      <c r="C193" s="5" t="s">
        <v>985</v>
      </c>
      <c r="D193" s="5" t="s">
        <v>808</v>
      </c>
      <c r="E193" s="5" t="s">
        <v>182</v>
      </c>
      <c r="F193" s="5" t="s">
        <v>161</v>
      </c>
      <c r="G193" s="5" t="s">
        <v>986</v>
      </c>
      <c r="H193" s="5" t="s">
        <v>987</v>
      </c>
    </row>
    <row r="194" customFormat="false" ht="15" hidden="false" customHeight="false" outlineLevel="0" collapsed="false">
      <c r="A194" s="5" t="s">
        <v>474</v>
      </c>
      <c r="B194" s="5" t="s">
        <v>65</v>
      </c>
      <c r="C194" s="5" t="s">
        <v>475</v>
      </c>
      <c r="D194" s="5" t="s">
        <v>476</v>
      </c>
      <c r="E194" s="5" t="s">
        <v>195</v>
      </c>
      <c r="F194" s="5" t="s">
        <v>190</v>
      </c>
      <c r="G194" s="5" t="s">
        <v>477</v>
      </c>
      <c r="H194" s="5" t="s">
        <v>478</v>
      </c>
    </row>
    <row r="195" customFormat="false" ht="15" hidden="false" customHeight="false" outlineLevel="0" collapsed="false">
      <c r="A195" s="5" t="s">
        <v>988</v>
      </c>
      <c r="B195" s="5" t="s">
        <v>134</v>
      </c>
      <c r="C195" s="5" t="s">
        <v>989</v>
      </c>
      <c r="D195" s="5" t="s">
        <v>990</v>
      </c>
      <c r="E195" s="5" t="s">
        <v>176</v>
      </c>
      <c r="F195" s="5" t="s">
        <v>161</v>
      </c>
      <c r="G195" s="5" t="s">
        <v>991</v>
      </c>
      <c r="H195" s="5" t="s">
        <v>992</v>
      </c>
    </row>
    <row r="196" customFormat="false" ht="15" hidden="false" customHeight="false" outlineLevel="0" collapsed="false">
      <c r="A196" s="5" t="s">
        <v>993</v>
      </c>
      <c r="B196" s="5" t="s">
        <v>41</v>
      </c>
      <c r="C196" s="5" t="s">
        <v>994</v>
      </c>
      <c r="D196" s="5" t="s">
        <v>995</v>
      </c>
      <c r="E196" s="5" t="s">
        <v>243</v>
      </c>
      <c r="F196" s="5" t="s">
        <v>190</v>
      </c>
      <c r="G196" s="5" t="s">
        <v>996</v>
      </c>
      <c r="H196" s="5" t="s">
        <v>997</v>
      </c>
    </row>
    <row r="197" customFormat="false" ht="15" hidden="false" customHeight="false" outlineLevel="0" collapsed="false">
      <c r="A197" s="5" t="s">
        <v>998</v>
      </c>
      <c r="B197" s="5" t="s">
        <v>133</v>
      </c>
      <c r="C197" s="5" t="s">
        <v>999</v>
      </c>
      <c r="D197" s="5" t="s">
        <v>1000</v>
      </c>
      <c r="E197" s="5" t="s">
        <v>176</v>
      </c>
      <c r="F197" s="5" t="s">
        <v>161</v>
      </c>
      <c r="G197" s="5" t="s">
        <v>1001</v>
      </c>
      <c r="H197" s="5" t="s">
        <v>1002</v>
      </c>
    </row>
    <row r="198" customFormat="false" ht="15" hidden="false" customHeight="false" outlineLevel="0" collapsed="false">
      <c r="A198" s="5" t="s">
        <v>1003</v>
      </c>
      <c r="B198" s="5" t="s">
        <v>98</v>
      </c>
      <c r="C198" s="5" t="s">
        <v>99</v>
      </c>
      <c r="D198" s="5" t="s">
        <v>1004</v>
      </c>
      <c r="E198" s="5" t="s">
        <v>160</v>
      </c>
      <c r="F198" s="5" t="s">
        <v>161</v>
      </c>
      <c r="G198" s="5" t="s">
        <v>1005</v>
      </c>
      <c r="H198" s="5" t="s">
        <v>1006</v>
      </c>
    </row>
    <row r="199" customFormat="false" ht="15" hidden="false" customHeight="false" outlineLevel="0" collapsed="false">
      <c r="A199" s="5" t="s">
        <v>1007</v>
      </c>
      <c r="B199" s="5" t="s">
        <v>81</v>
      </c>
      <c r="C199" s="5" t="s">
        <v>545</v>
      </c>
      <c r="D199" s="5" t="s">
        <v>990</v>
      </c>
      <c r="E199" s="5" t="s">
        <v>176</v>
      </c>
      <c r="F199" s="5" t="s">
        <v>161</v>
      </c>
      <c r="G199" s="5" t="s">
        <v>1008</v>
      </c>
      <c r="H199" s="5" t="s">
        <v>1009</v>
      </c>
    </row>
    <row r="200" customFormat="false" ht="15" hidden="false" customHeight="false" outlineLevel="0" collapsed="false">
      <c r="A200" s="5" t="s">
        <v>1010</v>
      </c>
      <c r="B200" s="5" t="s">
        <v>71</v>
      </c>
      <c r="C200" s="5" t="s">
        <v>490</v>
      </c>
      <c r="D200" s="5" t="s">
        <v>748</v>
      </c>
      <c r="E200" s="5" t="s">
        <v>171</v>
      </c>
      <c r="F200" s="5" t="s">
        <v>148</v>
      </c>
      <c r="G200" s="5" t="s">
        <v>1011</v>
      </c>
      <c r="H200" s="5" t="s">
        <v>1012</v>
      </c>
    </row>
    <row r="201" customFormat="false" ht="15" hidden="false" customHeight="false" outlineLevel="0" collapsed="false">
      <c r="A201" s="5" t="s">
        <v>1013</v>
      </c>
      <c r="B201" s="5" t="s">
        <v>48</v>
      </c>
      <c r="C201" s="5" t="s">
        <v>180</v>
      </c>
      <c r="D201" s="5" t="s">
        <v>1014</v>
      </c>
      <c r="E201" s="5" t="s">
        <v>147</v>
      </c>
      <c r="F201" s="5" t="s">
        <v>161</v>
      </c>
      <c r="G201" s="5" t="s">
        <v>1015</v>
      </c>
      <c r="H201" s="5" t="s">
        <v>1016</v>
      </c>
    </row>
    <row r="202" customFormat="false" ht="15" hidden="false" customHeight="false" outlineLevel="0" collapsed="false">
      <c r="A202" s="5" t="s">
        <v>1017</v>
      </c>
      <c r="B202" s="5" t="s">
        <v>106</v>
      </c>
      <c r="C202" s="5" t="s">
        <v>107</v>
      </c>
      <c r="D202" s="5" t="s">
        <v>188</v>
      </c>
      <c r="E202" s="5" t="s">
        <v>160</v>
      </c>
      <c r="F202" s="5" t="s">
        <v>148</v>
      </c>
      <c r="G202" s="5" t="s">
        <v>1018</v>
      </c>
      <c r="H202" s="5" t="s">
        <v>1019</v>
      </c>
    </row>
    <row r="203" customFormat="false" ht="15" hidden="false" customHeight="false" outlineLevel="0" collapsed="false">
      <c r="A203" s="5" t="s">
        <v>1020</v>
      </c>
      <c r="B203" s="5" t="s">
        <v>89</v>
      </c>
      <c r="C203" s="5" t="s">
        <v>33</v>
      </c>
      <c r="D203" s="5" t="s">
        <v>1021</v>
      </c>
      <c r="E203" s="5" t="s">
        <v>189</v>
      </c>
      <c r="F203" s="5" t="s">
        <v>190</v>
      </c>
      <c r="G203" s="5" t="s">
        <v>1022</v>
      </c>
      <c r="H203" s="5" t="s">
        <v>1023</v>
      </c>
    </row>
    <row r="204" customFormat="false" ht="15" hidden="false" customHeight="false" outlineLevel="0" collapsed="false">
      <c r="A204" s="5" t="s">
        <v>1024</v>
      </c>
      <c r="B204" s="5" t="s">
        <v>90</v>
      </c>
      <c r="C204" s="5" t="s">
        <v>533</v>
      </c>
      <c r="D204" s="5" t="s">
        <v>1025</v>
      </c>
      <c r="E204" s="5" t="s">
        <v>201</v>
      </c>
      <c r="F204" s="5" t="s">
        <v>148</v>
      </c>
      <c r="G204" s="5" t="s">
        <v>1026</v>
      </c>
      <c r="H204" s="5" t="s">
        <v>1027</v>
      </c>
    </row>
    <row r="205" customFormat="false" ht="15" hidden="false" customHeight="false" outlineLevel="0" collapsed="false">
      <c r="A205" s="5" t="s">
        <v>1028</v>
      </c>
      <c r="B205" s="5" t="s">
        <v>100</v>
      </c>
      <c r="C205" s="5" t="s">
        <v>388</v>
      </c>
      <c r="D205" s="5" t="s">
        <v>1029</v>
      </c>
      <c r="E205" s="5" t="s">
        <v>195</v>
      </c>
      <c r="F205" s="5" t="s">
        <v>148</v>
      </c>
      <c r="G205" s="5" t="s">
        <v>1030</v>
      </c>
      <c r="H205" s="5" t="s">
        <v>1031</v>
      </c>
    </row>
    <row r="206" customFormat="false" ht="15" hidden="false" customHeight="false" outlineLevel="0" collapsed="false">
      <c r="A206" s="5" t="s">
        <v>1032</v>
      </c>
      <c r="B206" s="5" t="s">
        <v>81</v>
      </c>
      <c r="C206" s="5" t="s">
        <v>82</v>
      </c>
      <c r="D206" s="5" t="s">
        <v>877</v>
      </c>
      <c r="E206" s="5" t="s">
        <v>171</v>
      </c>
      <c r="F206" s="5" t="s">
        <v>161</v>
      </c>
      <c r="G206" s="5" t="s">
        <v>1033</v>
      </c>
      <c r="H206" s="5" t="s">
        <v>1034</v>
      </c>
    </row>
    <row r="207" customFormat="false" ht="15" hidden="false" customHeight="false" outlineLevel="0" collapsed="false">
      <c r="A207" s="5" t="s">
        <v>1035</v>
      </c>
      <c r="B207" s="5" t="s">
        <v>38</v>
      </c>
      <c r="C207" s="5" t="s">
        <v>39</v>
      </c>
      <c r="D207" s="5" t="s">
        <v>1036</v>
      </c>
      <c r="E207" s="5" t="s">
        <v>176</v>
      </c>
      <c r="F207" s="5" t="s">
        <v>148</v>
      </c>
      <c r="G207" s="5" t="s">
        <v>1037</v>
      </c>
      <c r="H207" s="5" t="s">
        <v>1038</v>
      </c>
    </row>
    <row r="208" customFormat="false" ht="15" hidden="false" customHeight="false" outlineLevel="0" collapsed="false">
      <c r="A208" s="5" t="s">
        <v>1039</v>
      </c>
      <c r="B208" s="5" t="s">
        <v>52</v>
      </c>
      <c r="C208" s="5" t="s">
        <v>891</v>
      </c>
      <c r="D208" s="5" t="s">
        <v>1040</v>
      </c>
      <c r="E208" s="5" t="s">
        <v>154</v>
      </c>
      <c r="F208" s="5" t="s">
        <v>183</v>
      </c>
      <c r="G208" s="5" t="s">
        <v>1041</v>
      </c>
      <c r="H208" s="5" t="s">
        <v>1042</v>
      </c>
    </row>
    <row r="209" customFormat="false" ht="15" hidden="false" customHeight="false" outlineLevel="0" collapsed="false">
      <c r="A209" s="5" t="s">
        <v>1043</v>
      </c>
      <c r="B209" s="5" t="s">
        <v>44</v>
      </c>
      <c r="C209" s="5" t="s">
        <v>1044</v>
      </c>
      <c r="D209" s="5" t="s">
        <v>1045</v>
      </c>
      <c r="E209" s="5" t="s">
        <v>171</v>
      </c>
      <c r="F209" s="5" t="s">
        <v>1046</v>
      </c>
      <c r="G209" s="5" t="s">
        <v>1047</v>
      </c>
      <c r="H209" s="5" t="s">
        <v>1048</v>
      </c>
    </row>
    <row r="210" customFormat="false" ht="15" hidden="false" customHeight="false" outlineLevel="0" collapsed="false">
      <c r="A210" s="5" t="s">
        <v>1049</v>
      </c>
      <c r="B210" s="5" t="s">
        <v>77</v>
      </c>
      <c r="C210" s="5" t="s">
        <v>78</v>
      </c>
      <c r="D210" s="5" t="s">
        <v>146</v>
      </c>
      <c r="E210" s="5" t="s">
        <v>195</v>
      </c>
      <c r="F210" s="5" t="s">
        <v>155</v>
      </c>
      <c r="G210" s="5" t="s">
        <v>1050</v>
      </c>
      <c r="H210" s="5" t="s">
        <v>1051</v>
      </c>
    </row>
    <row r="211" customFormat="false" ht="15" hidden="false" customHeight="false" outlineLevel="0" collapsed="false">
      <c r="A211" s="5" t="s">
        <v>1052</v>
      </c>
      <c r="B211" s="5" t="s">
        <v>32</v>
      </c>
      <c r="C211" s="5" t="s">
        <v>1053</v>
      </c>
      <c r="D211" s="5" t="s">
        <v>205</v>
      </c>
      <c r="E211" s="5" t="s">
        <v>243</v>
      </c>
      <c r="F211" s="5" t="s">
        <v>155</v>
      </c>
      <c r="G211" s="5" t="s">
        <v>1054</v>
      </c>
      <c r="H211" s="5" t="s">
        <v>1055</v>
      </c>
    </row>
    <row r="212" customFormat="false" ht="15" hidden="false" customHeight="false" outlineLevel="0" collapsed="false">
      <c r="A212" s="5" t="s">
        <v>1056</v>
      </c>
      <c r="B212" s="5" t="s">
        <v>1057</v>
      </c>
      <c r="C212" s="5" t="s">
        <v>623</v>
      </c>
      <c r="D212" s="5" t="s">
        <v>509</v>
      </c>
      <c r="E212" s="5" t="s">
        <v>182</v>
      </c>
      <c r="F212" s="5" t="s">
        <v>161</v>
      </c>
      <c r="G212" s="5" t="s">
        <v>1058</v>
      </c>
      <c r="H212" s="5" t="s">
        <v>1059</v>
      </c>
    </row>
    <row r="213" customFormat="false" ht="15" hidden="false" customHeight="false" outlineLevel="0" collapsed="false">
      <c r="A213" s="5" t="s">
        <v>1060</v>
      </c>
      <c r="B213" s="5" t="s">
        <v>30</v>
      </c>
      <c r="C213" s="5" t="s">
        <v>1061</v>
      </c>
      <c r="D213" s="5" t="s">
        <v>1062</v>
      </c>
      <c r="E213" s="5" t="s">
        <v>154</v>
      </c>
      <c r="F213" s="5" t="s">
        <v>161</v>
      </c>
      <c r="G213" s="5" t="s">
        <v>1063</v>
      </c>
      <c r="H213" s="5" t="s">
        <v>1064</v>
      </c>
    </row>
    <row r="214" customFormat="false" ht="15" hidden="false" customHeight="false" outlineLevel="0" collapsed="false">
      <c r="A214" s="5" t="s">
        <v>1065</v>
      </c>
      <c r="B214" s="5" t="s">
        <v>108</v>
      </c>
      <c r="C214" s="5" t="s">
        <v>109</v>
      </c>
      <c r="D214" s="5" t="s">
        <v>181</v>
      </c>
      <c r="E214" s="5" t="s">
        <v>160</v>
      </c>
      <c r="F214" s="5" t="s">
        <v>183</v>
      </c>
      <c r="G214" s="5" t="s">
        <v>1066</v>
      </c>
      <c r="H214" s="5" t="s">
        <v>1067</v>
      </c>
    </row>
    <row r="215" customFormat="false" ht="15" hidden="false" customHeight="false" outlineLevel="0" collapsed="false">
      <c r="A215" s="5" t="s">
        <v>1068</v>
      </c>
      <c r="B215" s="5" t="s">
        <v>77</v>
      </c>
      <c r="C215" s="5" t="s">
        <v>78</v>
      </c>
      <c r="D215" s="5" t="s">
        <v>1069</v>
      </c>
      <c r="E215" s="5" t="s">
        <v>243</v>
      </c>
      <c r="F215" s="5" t="s">
        <v>183</v>
      </c>
      <c r="G215" s="5" t="s">
        <v>1070</v>
      </c>
      <c r="H215" s="5" t="s">
        <v>1071</v>
      </c>
    </row>
    <row r="216" customFormat="false" ht="15" hidden="false" customHeight="false" outlineLevel="0" collapsed="false">
      <c r="A216" s="5" t="s">
        <v>1072</v>
      </c>
      <c r="B216" s="5" t="s">
        <v>48</v>
      </c>
      <c r="C216" s="5" t="s">
        <v>49</v>
      </c>
      <c r="D216" s="5" t="s">
        <v>906</v>
      </c>
      <c r="E216" s="5" t="s">
        <v>171</v>
      </c>
      <c r="F216" s="5" t="s">
        <v>161</v>
      </c>
      <c r="G216" s="5" t="s">
        <v>1073</v>
      </c>
      <c r="H216" s="5" t="s">
        <v>1074</v>
      </c>
    </row>
    <row r="217" customFormat="false" ht="15" hidden="false" customHeight="false" outlineLevel="0" collapsed="false">
      <c r="A217" s="5" t="s">
        <v>1075</v>
      </c>
      <c r="B217" s="5" t="s">
        <v>48</v>
      </c>
      <c r="C217" s="5" t="s">
        <v>49</v>
      </c>
      <c r="D217" s="5" t="s">
        <v>1076</v>
      </c>
      <c r="E217" s="5" t="s">
        <v>195</v>
      </c>
      <c r="F217" s="5" t="s">
        <v>190</v>
      </c>
      <c r="G217" s="5" t="s">
        <v>1077</v>
      </c>
      <c r="H217" s="5" t="s">
        <v>1078</v>
      </c>
    </row>
    <row r="218" customFormat="false" ht="15" hidden="false" customHeight="false" outlineLevel="0" collapsed="false">
      <c r="A218" s="5" t="s">
        <v>1079</v>
      </c>
      <c r="B218" s="5" t="s">
        <v>89</v>
      </c>
      <c r="C218" s="5" t="s">
        <v>33</v>
      </c>
      <c r="D218" s="5" t="s">
        <v>1080</v>
      </c>
      <c r="E218" s="5" t="s">
        <v>154</v>
      </c>
      <c r="F218" s="5" t="s">
        <v>161</v>
      </c>
      <c r="G218" s="5" t="s">
        <v>1081</v>
      </c>
      <c r="H218" s="5" t="s">
        <v>1082</v>
      </c>
    </row>
    <row r="219" customFormat="false" ht="15" hidden="false" customHeight="false" outlineLevel="0" collapsed="false">
      <c r="A219" s="5" t="s">
        <v>1083</v>
      </c>
      <c r="B219" s="5" t="s">
        <v>134</v>
      </c>
      <c r="C219" s="5" t="s">
        <v>692</v>
      </c>
      <c r="D219" s="5" t="s">
        <v>1084</v>
      </c>
      <c r="E219" s="5" t="s">
        <v>147</v>
      </c>
      <c r="F219" s="5" t="s">
        <v>183</v>
      </c>
      <c r="G219" s="5" t="s">
        <v>1085</v>
      </c>
      <c r="H219" s="5" t="s">
        <v>1086</v>
      </c>
    </row>
    <row r="220" customFormat="false" ht="15" hidden="false" customHeight="false" outlineLevel="0" collapsed="false">
      <c r="A220" s="5" t="s">
        <v>1087</v>
      </c>
      <c r="B220" s="5" t="s">
        <v>1088</v>
      </c>
      <c r="C220" s="5" t="s">
        <v>128</v>
      </c>
      <c r="D220" s="5" t="s">
        <v>1089</v>
      </c>
      <c r="E220" s="5" t="s">
        <v>171</v>
      </c>
      <c r="F220" s="5" t="s">
        <v>155</v>
      </c>
      <c r="G220" s="5" t="s">
        <v>1090</v>
      </c>
      <c r="H220" s="5" t="s">
        <v>1091</v>
      </c>
    </row>
    <row r="221" customFormat="false" ht="15" hidden="false" customHeight="false" outlineLevel="0" collapsed="false">
      <c r="A221" s="5" t="s">
        <v>1092</v>
      </c>
      <c r="B221" s="5" t="s">
        <v>41</v>
      </c>
      <c r="C221" s="5" t="s">
        <v>42</v>
      </c>
      <c r="D221" s="5" t="s">
        <v>1093</v>
      </c>
      <c r="E221" s="5" t="s">
        <v>195</v>
      </c>
      <c r="F221" s="5" t="s">
        <v>148</v>
      </c>
      <c r="G221" s="5" t="s">
        <v>1094</v>
      </c>
      <c r="H221" s="5" t="s">
        <v>1095</v>
      </c>
    </row>
    <row r="222" customFormat="false" ht="15" hidden="false" customHeight="false" outlineLevel="0" collapsed="false">
      <c r="A222" s="5" t="s">
        <v>1096</v>
      </c>
      <c r="B222" s="5" t="s">
        <v>57</v>
      </c>
      <c r="C222" s="5" t="s">
        <v>503</v>
      </c>
      <c r="D222" s="5" t="s">
        <v>1097</v>
      </c>
      <c r="E222" s="5" t="s">
        <v>195</v>
      </c>
      <c r="F222" s="5" t="s">
        <v>1046</v>
      </c>
      <c r="G222" s="5" t="s">
        <v>1098</v>
      </c>
      <c r="H222" s="5" t="s">
        <v>1099</v>
      </c>
    </row>
    <row r="223" customFormat="false" ht="15" hidden="false" customHeight="false" outlineLevel="0" collapsed="false">
      <c r="A223" s="5" t="s">
        <v>1100</v>
      </c>
      <c r="B223" s="5" t="s">
        <v>104</v>
      </c>
      <c r="C223" s="5" t="s">
        <v>1101</v>
      </c>
      <c r="D223" s="5" t="s">
        <v>1102</v>
      </c>
      <c r="E223" s="5" t="s">
        <v>201</v>
      </c>
      <c r="F223" s="5" t="s">
        <v>148</v>
      </c>
      <c r="G223" s="5" t="s">
        <v>1103</v>
      </c>
      <c r="H223" s="5" t="s">
        <v>1104</v>
      </c>
    </row>
    <row r="224" customFormat="false" ht="15" hidden="false" customHeight="false" outlineLevel="0" collapsed="false">
      <c r="A224" s="5" t="s">
        <v>1105</v>
      </c>
      <c r="B224" s="5" t="s">
        <v>26</v>
      </c>
      <c r="C224" s="5" t="s">
        <v>27</v>
      </c>
      <c r="D224" s="5" t="s">
        <v>1106</v>
      </c>
      <c r="E224" s="5" t="s">
        <v>182</v>
      </c>
      <c r="F224" s="5" t="s">
        <v>148</v>
      </c>
      <c r="G224" s="5" t="s">
        <v>1107</v>
      </c>
      <c r="H224" s="5" t="s">
        <v>1108</v>
      </c>
    </row>
    <row r="225" customFormat="false" ht="15" hidden="false" customHeight="false" outlineLevel="0" collapsed="false">
      <c r="A225" s="5" t="s">
        <v>1109</v>
      </c>
      <c r="B225" s="5" t="s">
        <v>104</v>
      </c>
      <c r="C225" s="5" t="s">
        <v>105</v>
      </c>
      <c r="D225" s="5" t="s">
        <v>1110</v>
      </c>
      <c r="E225" s="5" t="s">
        <v>147</v>
      </c>
      <c r="F225" s="5"/>
      <c r="G225" s="5" t="s">
        <v>1111</v>
      </c>
      <c r="H225" s="5" t="s">
        <v>1112</v>
      </c>
    </row>
    <row r="226" customFormat="false" ht="15" hidden="false" customHeight="false" outlineLevel="0" collapsed="false">
      <c r="A226" s="5" t="s">
        <v>1113</v>
      </c>
      <c r="B226" s="5" t="s">
        <v>14</v>
      </c>
      <c r="C226" s="5" t="s">
        <v>15</v>
      </c>
      <c r="D226" s="5" t="s">
        <v>1114</v>
      </c>
      <c r="E226" s="5" t="s">
        <v>243</v>
      </c>
      <c r="F226" s="5" t="s">
        <v>190</v>
      </c>
      <c r="G226" s="5" t="s">
        <v>1115</v>
      </c>
      <c r="H226" s="5" t="s">
        <v>1116</v>
      </c>
    </row>
    <row r="227" customFormat="false" ht="15" hidden="false" customHeight="false" outlineLevel="0" collapsed="false">
      <c r="A227" s="5" t="s">
        <v>1117</v>
      </c>
      <c r="B227" s="5" t="s">
        <v>85</v>
      </c>
      <c r="C227" s="5" t="s">
        <v>1118</v>
      </c>
      <c r="D227" s="5" t="s">
        <v>1119</v>
      </c>
      <c r="E227" s="5" t="s">
        <v>195</v>
      </c>
      <c r="F227" s="5" t="s">
        <v>190</v>
      </c>
      <c r="G227" s="5" t="s">
        <v>1120</v>
      </c>
      <c r="H227" s="5" t="s">
        <v>1121</v>
      </c>
    </row>
    <row r="228" customFormat="false" ht="15" hidden="false" customHeight="false" outlineLevel="0" collapsed="false">
      <c r="A228" s="5" t="s">
        <v>1122</v>
      </c>
      <c r="B228" s="5" t="s">
        <v>116</v>
      </c>
      <c r="C228" s="5" t="s">
        <v>117</v>
      </c>
      <c r="D228" s="5" t="s">
        <v>1123</v>
      </c>
      <c r="E228" s="5" t="s">
        <v>176</v>
      </c>
      <c r="F228" s="5" t="s">
        <v>190</v>
      </c>
      <c r="G228" s="5" t="s">
        <v>1124</v>
      </c>
      <c r="H228" s="5" t="s">
        <v>1125</v>
      </c>
    </row>
    <row r="229" customFormat="false" ht="15" hidden="false" customHeight="false" outlineLevel="0" collapsed="false">
      <c r="A229" s="5" t="s">
        <v>1126</v>
      </c>
      <c r="B229" s="5" t="s">
        <v>59</v>
      </c>
      <c r="C229" s="5" t="s">
        <v>1127</v>
      </c>
      <c r="D229" s="5" t="s">
        <v>228</v>
      </c>
      <c r="E229" s="5" t="s">
        <v>195</v>
      </c>
      <c r="F229" s="5" t="s">
        <v>148</v>
      </c>
      <c r="G229" s="5" t="s">
        <v>1128</v>
      </c>
      <c r="H229" s="5" t="s">
        <v>1129</v>
      </c>
    </row>
    <row r="230" customFormat="false" ht="15" hidden="false" customHeight="false" outlineLevel="0" collapsed="false">
      <c r="A230" s="5" t="s">
        <v>1130</v>
      </c>
      <c r="B230" s="5" t="s">
        <v>126</v>
      </c>
      <c r="C230" s="5" t="s">
        <v>401</v>
      </c>
      <c r="D230" s="5" t="s">
        <v>804</v>
      </c>
      <c r="E230" s="5" t="s">
        <v>243</v>
      </c>
      <c r="F230" s="5" t="s">
        <v>190</v>
      </c>
      <c r="G230" s="5" t="s">
        <v>1131</v>
      </c>
      <c r="H230" s="5" t="s">
        <v>1132</v>
      </c>
    </row>
    <row r="231" customFormat="false" ht="15" hidden="false" customHeight="false" outlineLevel="0" collapsed="false">
      <c r="A231" s="5" t="s">
        <v>1133</v>
      </c>
      <c r="B231" s="5" t="s">
        <v>73</v>
      </c>
      <c r="C231" s="5" t="s">
        <v>74</v>
      </c>
      <c r="D231" s="5" t="s">
        <v>1134</v>
      </c>
      <c r="E231" s="5" t="s">
        <v>154</v>
      </c>
      <c r="F231" s="5" t="s">
        <v>190</v>
      </c>
      <c r="G231" s="5" t="s">
        <v>1135</v>
      </c>
      <c r="H231" s="5" t="s">
        <v>1136</v>
      </c>
    </row>
    <row r="232" customFormat="false" ht="15" hidden="false" customHeight="false" outlineLevel="0" collapsed="false">
      <c r="A232" s="5" t="s">
        <v>1137</v>
      </c>
      <c r="B232" s="5" t="s">
        <v>20</v>
      </c>
      <c r="C232" s="5" t="s">
        <v>702</v>
      </c>
      <c r="D232" s="5" t="s">
        <v>272</v>
      </c>
      <c r="E232" s="5" t="s">
        <v>160</v>
      </c>
      <c r="F232" s="5" t="s">
        <v>148</v>
      </c>
      <c r="G232" s="5" t="s">
        <v>1138</v>
      </c>
      <c r="H232" s="5" t="s">
        <v>1139</v>
      </c>
    </row>
    <row r="233" customFormat="false" ht="15" hidden="false" customHeight="false" outlineLevel="0" collapsed="false">
      <c r="A233" s="5" t="s">
        <v>1140</v>
      </c>
      <c r="B233" s="5" t="s">
        <v>112</v>
      </c>
      <c r="C233" s="5" t="s">
        <v>113</v>
      </c>
      <c r="D233" s="5" t="s">
        <v>1141</v>
      </c>
      <c r="E233" s="5" t="s">
        <v>243</v>
      </c>
      <c r="F233" s="5" t="s">
        <v>190</v>
      </c>
      <c r="G233" s="5" t="s">
        <v>1142</v>
      </c>
      <c r="H233" s="5" t="s">
        <v>1143</v>
      </c>
    </row>
    <row r="234" customFormat="false" ht="15" hidden="false" customHeight="false" outlineLevel="0" collapsed="false">
      <c r="A234" s="5" t="s">
        <v>1144</v>
      </c>
      <c r="B234" s="5" t="s">
        <v>83</v>
      </c>
      <c r="C234" s="5" t="s">
        <v>84</v>
      </c>
      <c r="D234" s="5" t="s">
        <v>1145</v>
      </c>
      <c r="E234" s="5" t="s">
        <v>171</v>
      </c>
      <c r="F234" s="5" t="s">
        <v>190</v>
      </c>
      <c r="G234" s="5" t="s">
        <v>1146</v>
      </c>
      <c r="H234" s="5" t="s">
        <v>1147</v>
      </c>
    </row>
    <row r="235" customFormat="false" ht="15" hidden="false" customHeight="false" outlineLevel="0" collapsed="false">
      <c r="A235" s="5" t="s">
        <v>1148</v>
      </c>
      <c r="B235" s="5" t="s">
        <v>38</v>
      </c>
      <c r="C235" s="5" t="s">
        <v>39</v>
      </c>
      <c r="D235" s="5" t="s">
        <v>1149</v>
      </c>
      <c r="E235" s="5" t="s">
        <v>182</v>
      </c>
      <c r="F235" s="5" t="s">
        <v>161</v>
      </c>
      <c r="G235" s="5" t="s">
        <v>1150</v>
      </c>
      <c r="H235" s="5" t="s">
        <v>1151</v>
      </c>
    </row>
    <row r="236" customFormat="false" ht="15" hidden="false" customHeight="false" outlineLevel="0" collapsed="false">
      <c r="A236" s="5" t="s">
        <v>1152</v>
      </c>
      <c r="B236" s="5" t="s">
        <v>32</v>
      </c>
      <c r="C236" s="5" t="s">
        <v>33</v>
      </c>
      <c r="D236" s="5" t="s">
        <v>1153</v>
      </c>
      <c r="E236" s="5" t="s">
        <v>189</v>
      </c>
      <c r="F236" s="5" t="s">
        <v>161</v>
      </c>
      <c r="G236" s="5" t="s">
        <v>1154</v>
      </c>
      <c r="H236" s="5" t="s">
        <v>1155</v>
      </c>
    </row>
    <row r="237" customFormat="false" ht="15" hidden="false" customHeight="false" outlineLevel="0" collapsed="false">
      <c r="A237" s="5" t="s">
        <v>1156</v>
      </c>
      <c r="B237" s="5" t="s">
        <v>104</v>
      </c>
      <c r="C237" s="5" t="s">
        <v>105</v>
      </c>
      <c r="D237" s="5" t="s">
        <v>1157</v>
      </c>
      <c r="E237" s="5" t="s">
        <v>154</v>
      </c>
      <c r="F237" s="5" t="s">
        <v>148</v>
      </c>
      <c r="G237" s="5" t="s">
        <v>1158</v>
      </c>
      <c r="H237" s="5" t="s">
        <v>1159</v>
      </c>
    </row>
    <row r="238" customFormat="false" ht="15" hidden="false" customHeight="false" outlineLevel="0" collapsed="false">
      <c r="A238" s="5" t="s">
        <v>1160</v>
      </c>
      <c r="B238" s="5" t="s">
        <v>65</v>
      </c>
      <c r="C238" s="5" t="s">
        <v>66</v>
      </c>
      <c r="D238" s="5" t="s">
        <v>1161</v>
      </c>
      <c r="E238" s="5" t="s">
        <v>189</v>
      </c>
      <c r="F238" s="5" t="s">
        <v>161</v>
      </c>
      <c r="G238" s="5" t="s">
        <v>1162</v>
      </c>
      <c r="H238" s="5" t="s">
        <v>1163</v>
      </c>
    </row>
    <row r="239" customFormat="false" ht="15" hidden="false" customHeight="false" outlineLevel="0" collapsed="false">
      <c r="A239" s="5" t="s">
        <v>1164</v>
      </c>
      <c r="B239" s="5" t="s">
        <v>73</v>
      </c>
      <c r="C239" s="5" t="s">
        <v>1165</v>
      </c>
      <c r="D239" s="5" t="s">
        <v>1166</v>
      </c>
      <c r="E239" s="5" t="s">
        <v>201</v>
      </c>
      <c r="F239" s="5" t="s">
        <v>183</v>
      </c>
      <c r="G239" s="5" t="s">
        <v>1167</v>
      </c>
      <c r="H239" s="5" t="s">
        <v>1168</v>
      </c>
    </row>
    <row r="240" customFormat="false" ht="15" hidden="false" customHeight="false" outlineLevel="0" collapsed="false">
      <c r="A240" s="5" t="s">
        <v>1169</v>
      </c>
      <c r="B240" s="5" t="s">
        <v>133</v>
      </c>
      <c r="C240" s="5" t="s">
        <v>262</v>
      </c>
      <c r="D240" s="5" t="s">
        <v>1170</v>
      </c>
      <c r="E240" s="5" t="s">
        <v>154</v>
      </c>
      <c r="F240" s="5" t="s">
        <v>155</v>
      </c>
      <c r="G240" s="5" t="s">
        <v>1171</v>
      </c>
      <c r="H240" s="5" t="s">
        <v>1172</v>
      </c>
    </row>
    <row r="241" customFormat="false" ht="15" hidden="false" customHeight="false" outlineLevel="0" collapsed="false">
      <c r="A241" s="5" t="s">
        <v>1173</v>
      </c>
      <c r="B241" s="5" t="s">
        <v>124</v>
      </c>
      <c r="C241" s="5" t="s">
        <v>597</v>
      </c>
      <c r="D241" s="5" t="s">
        <v>1174</v>
      </c>
      <c r="E241" s="5" t="s">
        <v>147</v>
      </c>
      <c r="F241" s="5" t="s">
        <v>190</v>
      </c>
      <c r="G241" s="5" t="s">
        <v>1175</v>
      </c>
      <c r="H241" s="5" t="s">
        <v>1176</v>
      </c>
    </row>
    <row r="242" customFormat="false" ht="15" hidden="false" customHeight="false" outlineLevel="0" collapsed="false">
      <c r="A242" s="5" t="s">
        <v>1177</v>
      </c>
      <c r="B242" s="5" t="s">
        <v>100</v>
      </c>
      <c r="C242" s="5" t="s">
        <v>101</v>
      </c>
      <c r="D242" s="5" t="s">
        <v>1178</v>
      </c>
      <c r="E242" s="5" t="s">
        <v>201</v>
      </c>
      <c r="F242" s="5" t="s">
        <v>190</v>
      </c>
      <c r="G242" s="5" t="s">
        <v>1179</v>
      </c>
      <c r="H242" s="5" t="s">
        <v>1180</v>
      </c>
    </row>
    <row r="243" customFormat="false" ht="15" hidden="false" customHeight="false" outlineLevel="0" collapsed="false">
      <c r="A243" s="5" t="s">
        <v>1181</v>
      </c>
      <c r="B243" s="5" t="s">
        <v>110</v>
      </c>
      <c r="C243" s="5" t="s">
        <v>931</v>
      </c>
      <c r="D243" s="5" t="s">
        <v>1182</v>
      </c>
      <c r="E243" s="5" t="s">
        <v>182</v>
      </c>
      <c r="F243" s="5" t="s">
        <v>161</v>
      </c>
      <c r="G243" s="5" t="s">
        <v>1183</v>
      </c>
      <c r="H243" s="5" t="s">
        <v>1184</v>
      </c>
    </row>
    <row r="244" customFormat="false" ht="15" hidden="false" customHeight="false" outlineLevel="0" collapsed="false">
      <c r="A244" s="5" t="s">
        <v>1185</v>
      </c>
      <c r="B244" s="5" t="s">
        <v>89</v>
      </c>
      <c r="C244" s="5" t="s">
        <v>33</v>
      </c>
      <c r="D244" s="5" t="s">
        <v>1186</v>
      </c>
      <c r="E244" s="5" t="s">
        <v>189</v>
      </c>
      <c r="F244" s="5" t="s">
        <v>155</v>
      </c>
      <c r="G244" s="5" t="s">
        <v>1187</v>
      </c>
      <c r="H244" s="5" t="s">
        <v>1188</v>
      </c>
    </row>
    <row r="245" customFormat="false" ht="15" hidden="false" customHeight="false" outlineLevel="0" collapsed="false">
      <c r="A245" s="5" t="s">
        <v>1189</v>
      </c>
      <c r="B245" s="5" t="s">
        <v>55</v>
      </c>
      <c r="C245" s="5" t="s">
        <v>56</v>
      </c>
      <c r="D245" s="5" t="s">
        <v>1190</v>
      </c>
      <c r="E245" s="5" t="s">
        <v>189</v>
      </c>
      <c r="F245" s="5" t="s">
        <v>190</v>
      </c>
      <c r="G245" s="5" t="s">
        <v>1191</v>
      </c>
      <c r="H245" s="5" t="s">
        <v>1192</v>
      </c>
    </row>
    <row r="246" customFormat="false" ht="15" hidden="false" customHeight="false" outlineLevel="0" collapsed="false">
      <c r="A246" s="5" t="s">
        <v>1193</v>
      </c>
      <c r="B246" s="5" t="s">
        <v>69</v>
      </c>
      <c r="C246" s="5" t="s">
        <v>508</v>
      </c>
      <c r="D246" s="5" t="s">
        <v>1194</v>
      </c>
      <c r="E246" s="5" t="s">
        <v>243</v>
      </c>
      <c r="F246" s="5" t="s">
        <v>155</v>
      </c>
      <c r="G246" s="5" t="s">
        <v>1195</v>
      </c>
      <c r="H246" s="5" t="s">
        <v>1196</v>
      </c>
    </row>
    <row r="247" customFormat="false" ht="15" hidden="false" customHeight="false" outlineLevel="0" collapsed="false">
      <c r="A247" s="5" t="s">
        <v>1197</v>
      </c>
      <c r="B247" s="5" t="s">
        <v>65</v>
      </c>
      <c r="C247" s="5" t="s">
        <v>66</v>
      </c>
      <c r="D247" s="5" t="s">
        <v>534</v>
      </c>
      <c r="E247" s="5" t="s">
        <v>243</v>
      </c>
      <c r="F247" s="5" t="s">
        <v>190</v>
      </c>
      <c r="G247" s="5" t="s">
        <v>1198</v>
      </c>
      <c r="H247" s="5" t="s">
        <v>1199</v>
      </c>
    </row>
    <row r="248" customFormat="false" ht="15" hidden="false" customHeight="false" outlineLevel="0" collapsed="false">
      <c r="A248" s="5" t="s">
        <v>1200</v>
      </c>
      <c r="B248" s="5" t="s">
        <v>73</v>
      </c>
      <c r="C248" s="5" t="s">
        <v>1201</v>
      </c>
      <c r="D248" s="5" t="s">
        <v>1202</v>
      </c>
      <c r="E248" s="5" t="s">
        <v>160</v>
      </c>
      <c r="F248" s="5" t="s">
        <v>161</v>
      </c>
      <c r="G248" s="5" t="s">
        <v>1203</v>
      </c>
      <c r="H248" s="5" t="s">
        <v>1204</v>
      </c>
    </row>
    <row r="249" customFormat="false" ht="15" hidden="false" customHeight="false" outlineLevel="0" collapsed="false">
      <c r="A249" s="5" t="s">
        <v>1205</v>
      </c>
      <c r="B249" s="5" t="s">
        <v>89</v>
      </c>
      <c r="C249" s="5" t="s">
        <v>1206</v>
      </c>
      <c r="D249" s="5" t="s">
        <v>1207</v>
      </c>
      <c r="E249" s="5" t="s">
        <v>243</v>
      </c>
      <c r="F249" s="5" t="s">
        <v>161</v>
      </c>
      <c r="G249" s="5" t="s">
        <v>1208</v>
      </c>
      <c r="H249" s="5" t="s">
        <v>1209</v>
      </c>
    </row>
    <row r="250" customFormat="false" ht="15" hidden="false" customHeight="false" outlineLevel="0" collapsed="false">
      <c r="A250" s="5" t="s">
        <v>1210</v>
      </c>
      <c r="B250" s="5" t="s">
        <v>118</v>
      </c>
      <c r="C250" s="5" t="s">
        <v>267</v>
      </c>
      <c r="D250" s="5" t="s">
        <v>1211</v>
      </c>
      <c r="E250" s="5" t="s">
        <v>160</v>
      </c>
      <c r="F250" s="5" t="s">
        <v>148</v>
      </c>
      <c r="G250" s="5" t="s">
        <v>1212</v>
      </c>
      <c r="H250" s="5" t="s">
        <v>1213</v>
      </c>
    </row>
    <row r="251" customFormat="false" ht="15" hidden="false" customHeight="false" outlineLevel="0" collapsed="false">
      <c r="A251" s="5" t="s">
        <v>1214</v>
      </c>
      <c r="B251" s="5" t="s">
        <v>106</v>
      </c>
      <c r="C251" s="5" t="s">
        <v>412</v>
      </c>
      <c r="D251" s="5" t="s">
        <v>1215</v>
      </c>
      <c r="E251" s="5" t="s">
        <v>195</v>
      </c>
      <c r="F251" s="5" t="s">
        <v>183</v>
      </c>
      <c r="G251" s="5" t="s">
        <v>1216</v>
      </c>
      <c r="H251" s="5" t="s">
        <v>1217</v>
      </c>
    </row>
    <row r="252" customFormat="false" ht="15" hidden="false" customHeight="false" outlineLevel="0" collapsed="false">
      <c r="A252" s="5" t="s">
        <v>1218</v>
      </c>
      <c r="B252" s="5" t="s">
        <v>26</v>
      </c>
      <c r="C252" s="5" t="s">
        <v>1219</v>
      </c>
      <c r="D252" s="5" t="s">
        <v>1220</v>
      </c>
      <c r="E252" s="5" t="s">
        <v>160</v>
      </c>
      <c r="F252" s="5" t="s">
        <v>161</v>
      </c>
      <c r="G252" s="5" t="s">
        <v>1221</v>
      </c>
      <c r="H252" s="5" t="s">
        <v>1222</v>
      </c>
    </row>
    <row r="253" customFormat="false" ht="15" hidden="false" customHeight="false" outlineLevel="0" collapsed="false">
      <c r="A253" s="5" t="s">
        <v>1223</v>
      </c>
      <c r="B253" s="5" t="s">
        <v>1224</v>
      </c>
      <c r="C253" s="5" t="s">
        <v>1225</v>
      </c>
      <c r="D253" s="5" t="s">
        <v>277</v>
      </c>
      <c r="E253" s="5" t="s">
        <v>160</v>
      </c>
      <c r="F253" s="5" t="s">
        <v>148</v>
      </c>
      <c r="G253" s="5" t="s">
        <v>1226</v>
      </c>
      <c r="H253" s="5" t="s">
        <v>1227</v>
      </c>
    </row>
    <row r="254" customFormat="false" ht="15" hidden="false" customHeight="false" outlineLevel="0" collapsed="false">
      <c r="A254" s="5" t="s">
        <v>1228</v>
      </c>
      <c r="B254" s="5" t="s">
        <v>106</v>
      </c>
      <c r="C254" s="5" t="s">
        <v>1229</v>
      </c>
      <c r="D254" s="5" t="s">
        <v>1230</v>
      </c>
      <c r="E254" s="5" t="s">
        <v>176</v>
      </c>
      <c r="F254" s="5" t="s">
        <v>190</v>
      </c>
      <c r="G254" s="5" t="s">
        <v>1231</v>
      </c>
      <c r="H254" s="5" t="s">
        <v>1232</v>
      </c>
    </row>
    <row r="255" customFormat="false" ht="15" hidden="false" customHeight="false" outlineLevel="0" collapsed="false">
      <c r="A255" s="5" t="s">
        <v>1233</v>
      </c>
      <c r="B255" s="5" t="s">
        <v>71</v>
      </c>
      <c r="C255" s="5" t="s">
        <v>490</v>
      </c>
      <c r="D255" s="5" t="s">
        <v>812</v>
      </c>
      <c r="E255" s="5" t="s">
        <v>243</v>
      </c>
      <c r="F255" s="5" t="s">
        <v>161</v>
      </c>
      <c r="G255" s="5" t="s">
        <v>1234</v>
      </c>
      <c r="H255" s="5" t="s">
        <v>1235</v>
      </c>
    </row>
    <row r="256" customFormat="false" ht="15" hidden="false" customHeight="false" outlineLevel="0" collapsed="false">
      <c r="A256" s="5" t="s">
        <v>1236</v>
      </c>
      <c r="B256" s="5" t="s">
        <v>10</v>
      </c>
      <c r="C256" s="5" t="s">
        <v>11</v>
      </c>
      <c r="D256" s="5" t="s">
        <v>291</v>
      </c>
      <c r="E256" s="5" t="s">
        <v>176</v>
      </c>
      <c r="F256" s="5" t="s">
        <v>183</v>
      </c>
      <c r="G256" s="5" t="s">
        <v>1237</v>
      </c>
      <c r="H256" s="5" t="s">
        <v>1238</v>
      </c>
    </row>
    <row r="257" customFormat="false" ht="15" hidden="false" customHeight="false" outlineLevel="0" collapsed="false">
      <c r="A257" s="5" t="s">
        <v>1239</v>
      </c>
      <c r="B257" s="5" t="s">
        <v>57</v>
      </c>
      <c r="C257" s="5" t="s">
        <v>199</v>
      </c>
      <c r="D257" s="5" t="s">
        <v>1240</v>
      </c>
      <c r="E257" s="5" t="s">
        <v>189</v>
      </c>
      <c r="F257" s="5" t="s">
        <v>190</v>
      </c>
      <c r="G257" s="5" t="s">
        <v>1241</v>
      </c>
      <c r="H257" s="5" t="s">
        <v>1242</v>
      </c>
    </row>
    <row r="258" customFormat="false" ht="15" hidden="false" customHeight="false" outlineLevel="0" collapsed="false">
      <c r="A258" s="5" t="s">
        <v>1243</v>
      </c>
      <c r="B258" s="5" t="s">
        <v>46</v>
      </c>
      <c r="C258" s="5" t="s">
        <v>485</v>
      </c>
      <c r="D258" s="5" t="s">
        <v>1244</v>
      </c>
      <c r="E258" s="5" t="s">
        <v>160</v>
      </c>
      <c r="F258" s="5" t="s">
        <v>183</v>
      </c>
      <c r="G258" s="5" t="s">
        <v>1245</v>
      </c>
      <c r="H258" s="5" t="s">
        <v>1246</v>
      </c>
    </row>
    <row r="259" customFormat="false" ht="15" hidden="false" customHeight="false" outlineLevel="0" collapsed="false">
      <c r="A259" s="5" t="s">
        <v>1247</v>
      </c>
      <c r="B259" s="5" t="s">
        <v>46</v>
      </c>
      <c r="C259" s="5" t="s">
        <v>1248</v>
      </c>
      <c r="D259" s="5" t="s">
        <v>340</v>
      </c>
      <c r="E259" s="5" t="s">
        <v>154</v>
      </c>
      <c r="F259" s="5" t="s">
        <v>161</v>
      </c>
      <c r="G259" s="5" t="s">
        <v>1249</v>
      </c>
      <c r="H259" s="5" t="s">
        <v>1250</v>
      </c>
    </row>
    <row r="260" customFormat="false" ht="15" hidden="false" customHeight="false" outlineLevel="0" collapsed="false">
      <c r="A260" s="5" t="s">
        <v>1251</v>
      </c>
      <c r="B260" s="5" t="s">
        <v>48</v>
      </c>
      <c r="C260" s="5" t="s">
        <v>180</v>
      </c>
      <c r="D260" s="5" t="s">
        <v>1215</v>
      </c>
      <c r="E260" s="5" t="s">
        <v>160</v>
      </c>
      <c r="F260" s="5" t="s">
        <v>148</v>
      </c>
      <c r="G260" s="5" t="s">
        <v>1252</v>
      </c>
      <c r="H260" s="5" t="s">
        <v>1253</v>
      </c>
    </row>
    <row r="261" customFormat="false" ht="15" hidden="false" customHeight="false" outlineLevel="0" collapsed="false">
      <c r="A261" s="5" t="s">
        <v>1254</v>
      </c>
      <c r="B261" s="5" t="s">
        <v>50</v>
      </c>
      <c r="C261" s="5" t="s">
        <v>51</v>
      </c>
      <c r="D261" s="5" t="s">
        <v>1255</v>
      </c>
      <c r="E261" s="5" t="s">
        <v>171</v>
      </c>
      <c r="F261" s="5" t="s">
        <v>190</v>
      </c>
      <c r="G261" s="5" t="s">
        <v>1256</v>
      </c>
      <c r="H261" s="5" t="s">
        <v>1257</v>
      </c>
    </row>
    <row r="262" customFormat="false" ht="15" hidden="false" customHeight="false" outlineLevel="0" collapsed="false">
      <c r="A262" s="5" t="s">
        <v>1258</v>
      </c>
      <c r="B262" s="5" t="s">
        <v>65</v>
      </c>
      <c r="C262" s="5" t="s">
        <v>475</v>
      </c>
      <c r="D262" s="5" t="s">
        <v>1259</v>
      </c>
      <c r="E262" s="5" t="s">
        <v>195</v>
      </c>
      <c r="F262" s="5" t="s">
        <v>190</v>
      </c>
      <c r="G262" s="5" t="s">
        <v>1260</v>
      </c>
      <c r="H262" s="5" t="s">
        <v>1261</v>
      </c>
    </row>
    <row r="263" customFormat="false" ht="15" hidden="false" customHeight="false" outlineLevel="0" collapsed="false">
      <c r="A263" s="5" t="s">
        <v>1262</v>
      </c>
      <c r="B263" s="5" t="s">
        <v>112</v>
      </c>
      <c r="C263" s="5" t="s">
        <v>113</v>
      </c>
      <c r="D263" s="5" t="s">
        <v>1263</v>
      </c>
      <c r="E263" s="5" t="s">
        <v>182</v>
      </c>
      <c r="F263" s="5" t="s">
        <v>161</v>
      </c>
      <c r="G263" s="5" t="s">
        <v>1264</v>
      </c>
      <c r="H263" s="5" t="s">
        <v>1265</v>
      </c>
    </row>
    <row r="264" customFormat="false" ht="15" hidden="false" customHeight="false" outlineLevel="0" collapsed="false">
      <c r="A264" s="5" t="s">
        <v>1266</v>
      </c>
      <c r="B264" s="5" t="s">
        <v>131</v>
      </c>
      <c r="C264" s="5" t="s">
        <v>1267</v>
      </c>
      <c r="D264" s="5" t="s">
        <v>1268</v>
      </c>
      <c r="E264" s="5" t="s">
        <v>189</v>
      </c>
      <c r="F264" s="5" t="s">
        <v>161</v>
      </c>
      <c r="G264" s="5" t="s">
        <v>1269</v>
      </c>
      <c r="H264" s="5" t="s">
        <v>1270</v>
      </c>
    </row>
    <row r="265" customFormat="false" ht="15" hidden="false" customHeight="false" outlineLevel="0" collapsed="false">
      <c r="A265" s="5" t="s">
        <v>1271</v>
      </c>
      <c r="B265" s="5" t="s">
        <v>79</v>
      </c>
      <c r="C265" s="5" t="s">
        <v>252</v>
      </c>
      <c r="D265" s="5" t="s">
        <v>397</v>
      </c>
      <c r="E265" s="5" t="s">
        <v>195</v>
      </c>
      <c r="F265" s="5" t="s">
        <v>155</v>
      </c>
      <c r="G265" s="5" t="s">
        <v>1272</v>
      </c>
      <c r="H265" s="5" t="s">
        <v>1273</v>
      </c>
    </row>
    <row r="266" customFormat="false" ht="15" hidden="false" customHeight="false" outlineLevel="0" collapsed="false">
      <c r="A266" s="5" t="s">
        <v>1274</v>
      </c>
      <c r="B266" s="5" t="s">
        <v>77</v>
      </c>
      <c r="C266" s="5" t="s">
        <v>636</v>
      </c>
      <c r="D266" s="5" t="s">
        <v>981</v>
      </c>
      <c r="E266" s="5" t="s">
        <v>195</v>
      </c>
      <c r="F266" s="5" t="s">
        <v>161</v>
      </c>
      <c r="G266" s="5" t="s">
        <v>1275</v>
      </c>
      <c r="H266" s="5" t="s">
        <v>1276</v>
      </c>
    </row>
    <row r="267" customFormat="false" ht="15" hidden="false" customHeight="false" outlineLevel="0" collapsed="false">
      <c r="A267" s="5" t="s">
        <v>1277</v>
      </c>
      <c r="B267" s="5" t="s">
        <v>57</v>
      </c>
      <c r="C267" s="5" t="s">
        <v>58</v>
      </c>
      <c r="D267" s="5" t="s">
        <v>1278</v>
      </c>
      <c r="E267" s="5" t="s">
        <v>189</v>
      </c>
      <c r="F267" s="5" t="s">
        <v>148</v>
      </c>
      <c r="G267" s="5" t="s">
        <v>1279</v>
      </c>
      <c r="H267" s="5" t="s">
        <v>1280</v>
      </c>
    </row>
    <row r="268" customFormat="false" ht="15" hidden="false" customHeight="false" outlineLevel="0" collapsed="false">
      <c r="A268" s="5" t="s">
        <v>1281</v>
      </c>
      <c r="B268" s="5" t="s">
        <v>81</v>
      </c>
      <c r="C268" s="5" t="s">
        <v>545</v>
      </c>
      <c r="D268" s="5" t="s">
        <v>1282</v>
      </c>
      <c r="E268" s="5" t="s">
        <v>171</v>
      </c>
      <c r="F268" s="5" t="s">
        <v>161</v>
      </c>
      <c r="G268" s="5" t="s">
        <v>1283</v>
      </c>
      <c r="H268" s="5" t="s">
        <v>1284</v>
      </c>
    </row>
    <row r="269" customFormat="false" ht="15" hidden="false" customHeight="false" outlineLevel="0" collapsed="false">
      <c r="A269" s="5" t="s">
        <v>1285</v>
      </c>
      <c r="B269" s="5" t="s">
        <v>124</v>
      </c>
      <c r="C269" s="5" t="s">
        <v>1286</v>
      </c>
      <c r="D269" s="5" t="s">
        <v>1287</v>
      </c>
      <c r="E269" s="5" t="s">
        <v>201</v>
      </c>
      <c r="F269" s="5" t="s">
        <v>190</v>
      </c>
      <c r="G269" s="5" t="s">
        <v>1288</v>
      </c>
      <c r="H269" s="5" t="s">
        <v>1289</v>
      </c>
    </row>
    <row r="270" customFormat="false" ht="15" hidden="false" customHeight="false" outlineLevel="0" collapsed="false">
      <c r="A270" s="5" t="s">
        <v>1290</v>
      </c>
      <c r="B270" s="5" t="s">
        <v>6</v>
      </c>
      <c r="C270" s="5" t="s">
        <v>152</v>
      </c>
      <c r="D270" s="5" t="s">
        <v>1291</v>
      </c>
      <c r="E270" s="5" t="s">
        <v>147</v>
      </c>
      <c r="F270" s="5" t="s">
        <v>161</v>
      </c>
      <c r="G270" s="5" t="s">
        <v>1292</v>
      </c>
      <c r="H270" s="5" t="s">
        <v>1293</v>
      </c>
    </row>
    <row r="271" customFormat="false" ht="15" hidden="false" customHeight="false" outlineLevel="0" collapsed="false">
      <c r="A271" s="5" t="s">
        <v>1294</v>
      </c>
      <c r="B271" s="5" t="s">
        <v>41</v>
      </c>
      <c r="C271" s="5" t="s">
        <v>42</v>
      </c>
      <c r="D271" s="5" t="s">
        <v>1295</v>
      </c>
      <c r="E271" s="5" t="s">
        <v>171</v>
      </c>
      <c r="F271" s="5" t="s">
        <v>161</v>
      </c>
      <c r="G271" s="5" t="s">
        <v>1296</v>
      </c>
      <c r="H271" s="5" t="s">
        <v>1297</v>
      </c>
    </row>
    <row r="272" customFormat="false" ht="15" hidden="false" customHeight="false" outlineLevel="0" collapsed="false">
      <c r="A272" s="5" t="s">
        <v>1298</v>
      </c>
      <c r="B272" s="5" t="s">
        <v>81</v>
      </c>
      <c r="C272" s="5" t="s">
        <v>845</v>
      </c>
      <c r="D272" s="5" t="s">
        <v>1299</v>
      </c>
      <c r="E272" s="5" t="s">
        <v>189</v>
      </c>
      <c r="F272" s="5" t="s">
        <v>161</v>
      </c>
      <c r="G272" s="5" t="s">
        <v>1300</v>
      </c>
      <c r="H272" s="5" t="s">
        <v>1301</v>
      </c>
    </row>
    <row r="273" customFormat="false" ht="15" hidden="false" customHeight="false" outlineLevel="0" collapsed="false">
      <c r="A273" s="5" t="s">
        <v>1302</v>
      </c>
      <c r="B273" s="5" t="s">
        <v>67</v>
      </c>
      <c r="C273" s="5" t="s">
        <v>358</v>
      </c>
      <c r="D273" s="5" t="s">
        <v>1303</v>
      </c>
      <c r="E273" s="5" t="s">
        <v>171</v>
      </c>
      <c r="F273" s="5" t="s">
        <v>190</v>
      </c>
      <c r="G273" s="5" t="s">
        <v>1304</v>
      </c>
      <c r="H273" s="5" t="s">
        <v>1305</v>
      </c>
    </row>
    <row r="274" customFormat="false" ht="15" hidden="false" customHeight="false" outlineLevel="0" collapsed="false">
      <c r="A274" s="5" t="s">
        <v>807</v>
      </c>
      <c r="B274" s="5" t="s">
        <v>41</v>
      </c>
      <c r="C274" s="5" t="s">
        <v>42</v>
      </c>
      <c r="D274" s="5" t="s">
        <v>808</v>
      </c>
      <c r="E274" s="5" t="s">
        <v>195</v>
      </c>
      <c r="F274" s="5" t="s">
        <v>148</v>
      </c>
      <c r="G274" s="5" t="s">
        <v>809</v>
      </c>
      <c r="H274" s="5" t="s">
        <v>810</v>
      </c>
    </row>
    <row r="275" customFormat="false" ht="15" hidden="false" customHeight="false" outlineLevel="0" collapsed="false">
      <c r="A275" s="5" t="s">
        <v>1306</v>
      </c>
      <c r="B275" s="5" t="s">
        <v>44</v>
      </c>
      <c r="C275" s="5" t="s">
        <v>1044</v>
      </c>
      <c r="D275" s="5" t="s">
        <v>737</v>
      </c>
      <c r="E275" s="5" t="s">
        <v>154</v>
      </c>
      <c r="F275" s="5" t="s">
        <v>155</v>
      </c>
      <c r="G275" s="5" t="s">
        <v>1307</v>
      </c>
      <c r="H275" s="5" t="s">
        <v>1308</v>
      </c>
    </row>
    <row r="276" customFormat="false" ht="15" hidden="false" customHeight="false" outlineLevel="0" collapsed="false">
      <c r="A276" s="5" t="s">
        <v>1309</v>
      </c>
      <c r="B276" s="5" t="s">
        <v>134</v>
      </c>
      <c r="C276" s="5" t="s">
        <v>989</v>
      </c>
      <c r="D276" s="5" t="s">
        <v>331</v>
      </c>
      <c r="E276" s="5" t="s">
        <v>176</v>
      </c>
      <c r="F276" s="5" t="s">
        <v>190</v>
      </c>
      <c r="G276" s="5" t="s">
        <v>1310</v>
      </c>
      <c r="H276" s="5" t="s">
        <v>1311</v>
      </c>
    </row>
    <row r="277" customFormat="false" ht="15" hidden="false" customHeight="false" outlineLevel="0" collapsed="false">
      <c r="A277" s="5" t="s">
        <v>1312</v>
      </c>
      <c r="B277" s="5" t="s">
        <v>24</v>
      </c>
      <c r="C277" s="5" t="s">
        <v>295</v>
      </c>
      <c r="D277" s="5" t="s">
        <v>1295</v>
      </c>
      <c r="E277" s="5" t="s">
        <v>154</v>
      </c>
      <c r="F277" s="5" t="s">
        <v>183</v>
      </c>
      <c r="G277" s="5" t="s">
        <v>1313</v>
      </c>
      <c r="H277" s="5" t="s">
        <v>1314</v>
      </c>
    </row>
    <row r="278" customFormat="false" ht="15" hidden="false" customHeight="false" outlineLevel="0" collapsed="false">
      <c r="A278" s="5" t="s">
        <v>1315</v>
      </c>
      <c r="B278" s="5" t="s">
        <v>34</v>
      </c>
      <c r="C278" s="5" t="s">
        <v>35</v>
      </c>
      <c r="D278" s="5" t="s">
        <v>1316</v>
      </c>
      <c r="E278" s="5" t="s">
        <v>176</v>
      </c>
      <c r="F278" s="5" t="s">
        <v>183</v>
      </c>
      <c r="G278" s="5" t="s">
        <v>1317</v>
      </c>
      <c r="H278" s="5" t="s">
        <v>1318</v>
      </c>
    </row>
    <row r="279" customFormat="false" ht="15" hidden="false" customHeight="false" outlineLevel="0" collapsed="false">
      <c r="A279" s="5" t="s">
        <v>1319</v>
      </c>
      <c r="B279" s="5" t="s">
        <v>69</v>
      </c>
      <c r="C279" s="5" t="s">
        <v>508</v>
      </c>
      <c r="D279" s="5" t="s">
        <v>1320</v>
      </c>
      <c r="E279" s="5" t="s">
        <v>160</v>
      </c>
      <c r="F279" s="5" t="s">
        <v>161</v>
      </c>
      <c r="G279" s="5" t="s">
        <v>1321</v>
      </c>
      <c r="H279" s="5" t="s">
        <v>1322</v>
      </c>
    </row>
    <row r="280" customFormat="false" ht="15" hidden="false" customHeight="false" outlineLevel="0" collapsed="false">
      <c r="A280" s="5" t="s">
        <v>1323</v>
      </c>
      <c r="B280" s="5" t="s">
        <v>100</v>
      </c>
      <c r="C280" s="5" t="s">
        <v>101</v>
      </c>
      <c r="D280" s="5" t="s">
        <v>1324</v>
      </c>
      <c r="E280" s="5" t="s">
        <v>243</v>
      </c>
      <c r="F280" s="5" t="s">
        <v>190</v>
      </c>
      <c r="G280" s="5" t="s">
        <v>1325</v>
      </c>
      <c r="H280" s="5" t="s">
        <v>1326</v>
      </c>
    </row>
    <row r="281" customFormat="false" ht="15" hidden="false" customHeight="false" outlineLevel="0" collapsed="false">
      <c r="A281" s="5" t="s">
        <v>1327</v>
      </c>
      <c r="B281" s="5" t="s">
        <v>73</v>
      </c>
      <c r="C281" s="5" t="s">
        <v>1165</v>
      </c>
      <c r="D281" s="5" t="s">
        <v>1328</v>
      </c>
      <c r="E281" s="5" t="s">
        <v>154</v>
      </c>
      <c r="F281" s="5" t="s">
        <v>155</v>
      </c>
      <c r="G281" s="5" t="s">
        <v>1329</v>
      </c>
      <c r="H281" s="5" t="s">
        <v>1330</v>
      </c>
    </row>
    <row r="282" customFormat="false" ht="15" hidden="false" customHeight="false" outlineLevel="0" collapsed="false">
      <c r="A282" s="5" t="s">
        <v>1331</v>
      </c>
      <c r="B282" s="5" t="s">
        <v>85</v>
      </c>
      <c r="C282" s="5" t="s">
        <v>86</v>
      </c>
      <c r="D282" s="5" t="s">
        <v>286</v>
      </c>
      <c r="E282" s="5" t="s">
        <v>171</v>
      </c>
      <c r="F282" s="5" t="s">
        <v>183</v>
      </c>
      <c r="G282" s="5" t="s">
        <v>1332</v>
      </c>
      <c r="H282" s="5" t="s">
        <v>1333</v>
      </c>
    </row>
    <row r="283" customFormat="false" ht="15" hidden="false" customHeight="false" outlineLevel="0" collapsed="false">
      <c r="A283" s="5" t="s">
        <v>1334</v>
      </c>
      <c r="B283" s="5" t="s">
        <v>46</v>
      </c>
      <c r="C283" s="5" t="s">
        <v>485</v>
      </c>
      <c r="D283" s="5" t="s">
        <v>1335</v>
      </c>
      <c r="E283" s="5" t="s">
        <v>201</v>
      </c>
      <c r="F283" s="5" t="s">
        <v>190</v>
      </c>
      <c r="G283" s="5" t="s">
        <v>1336</v>
      </c>
      <c r="H283" s="5" t="s">
        <v>1337</v>
      </c>
    </row>
    <row r="284" customFormat="false" ht="15" hidden="false" customHeight="false" outlineLevel="0" collapsed="false">
      <c r="A284" s="5" t="s">
        <v>1338</v>
      </c>
      <c r="B284" s="5" t="s">
        <v>55</v>
      </c>
      <c r="C284" s="5" t="s">
        <v>56</v>
      </c>
      <c r="D284" s="5" t="s">
        <v>1339</v>
      </c>
      <c r="E284" s="5" t="s">
        <v>154</v>
      </c>
      <c r="F284" s="5" t="s">
        <v>161</v>
      </c>
      <c r="G284" s="5" t="s">
        <v>1340</v>
      </c>
      <c r="H284" s="5" t="s">
        <v>1341</v>
      </c>
    </row>
    <row r="285" customFormat="false" ht="15" hidden="false" customHeight="false" outlineLevel="0" collapsed="false">
      <c r="A285" s="5" t="s">
        <v>1342</v>
      </c>
      <c r="B285" s="5" t="s">
        <v>120</v>
      </c>
      <c r="C285" s="5" t="s">
        <v>222</v>
      </c>
      <c r="D285" s="5" t="s">
        <v>397</v>
      </c>
      <c r="E285" s="5" t="s">
        <v>160</v>
      </c>
      <c r="F285" s="5" t="s">
        <v>161</v>
      </c>
      <c r="G285" s="5" t="s">
        <v>1343</v>
      </c>
      <c r="H285" s="5" t="s">
        <v>1344</v>
      </c>
    </row>
    <row r="286" customFormat="false" ht="15" hidden="false" customHeight="false" outlineLevel="0" collapsed="false">
      <c r="A286" s="5" t="s">
        <v>1345</v>
      </c>
      <c r="B286" s="5" t="s">
        <v>94</v>
      </c>
      <c r="C286" s="5" t="s">
        <v>427</v>
      </c>
      <c r="D286" s="5" t="s">
        <v>684</v>
      </c>
      <c r="E286" s="5" t="s">
        <v>195</v>
      </c>
      <c r="F286" s="5"/>
      <c r="G286" s="5" t="s">
        <v>1346</v>
      </c>
      <c r="H286" s="5" t="s">
        <v>1347</v>
      </c>
    </row>
    <row r="287" customFormat="false" ht="15" hidden="false" customHeight="false" outlineLevel="0" collapsed="false">
      <c r="A287" s="5" t="s">
        <v>1348</v>
      </c>
      <c r="B287" s="5" t="s">
        <v>102</v>
      </c>
      <c r="C287" s="5" t="s">
        <v>233</v>
      </c>
      <c r="D287" s="5" t="s">
        <v>1349</v>
      </c>
      <c r="E287" s="5" t="s">
        <v>171</v>
      </c>
      <c r="F287" s="5" t="s">
        <v>190</v>
      </c>
      <c r="G287" s="5" t="s">
        <v>1350</v>
      </c>
      <c r="H287" s="5" t="s">
        <v>1351</v>
      </c>
    </row>
    <row r="288" customFormat="false" ht="15" hidden="false" customHeight="false" outlineLevel="0" collapsed="false">
      <c r="A288" s="5" t="s">
        <v>1352</v>
      </c>
      <c r="B288" s="5" t="s">
        <v>79</v>
      </c>
      <c r="C288" s="5" t="s">
        <v>252</v>
      </c>
      <c r="D288" s="5" t="s">
        <v>1353</v>
      </c>
      <c r="E288" s="5" t="s">
        <v>182</v>
      </c>
      <c r="F288" s="5" t="s">
        <v>190</v>
      </c>
      <c r="G288" s="5" t="s">
        <v>1354</v>
      </c>
      <c r="H288" s="5" t="s">
        <v>1355</v>
      </c>
    </row>
    <row r="289" customFormat="false" ht="15" hidden="false" customHeight="false" outlineLevel="0" collapsed="false">
      <c r="A289" s="5" t="s">
        <v>1356</v>
      </c>
      <c r="B289" s="5" t="s">
        <v>38</v>
      </c>
      <c r="C289" s="5" t="s">
        <v>615</v>
      </c>
      <c r="D289" s="5" t="s">
        <v>546</v>
      </c>
      <c r="E289" s="5" t="s">
        <v>154</v>
      </c>
      <c r="F289" s="5" t="s">
        <v>190</v>
      </c>
      <c r="G289" s="5" t="s">
        <v>1357</v>
      </c>
      <c r="H289" s="5" t="s">
        <v>1358</v>
      </c>
    </row>
    <row r="290" customFormat="false" ht="15" hidden="false" customHeight="false" outlineLevel="0" collapsed="false">
      <c r="A290" s="5" t="s">
        <v>1359</v>
      </c>
      <c r="B290" s="5" t="s">
        <v>100</v>
      </c>
      <c r="C290" s="5" t="s">
        <v>744</v>
      </c>
      <c r="D290" s="5" t="s">
        <v>951</v>
      </c>
      <c r="E290" s="5" t="s">
        <v>195</v>
      </c>
      <c r="F290" s="5" t="s">
        <v>190</v>
      </c>
      <c r="G290" s="5" t="s">
        <v>1360</v>
      </c>
      <c r="H290" s="5" t="s">
        <v>1361</v>
      </c>
    </row>
    <row r="291" customFormat="false" ht="15" hidden="false" customHeight="false" outlineLevel="0" collapsed="false">
      <c r="A291" s="5" t="s">
        <v>1362</v>
      </c>
      <c r="B291" s="5" t="s">
        <v>65</v>
      </c>
      <c r="C291" s="5" t="s">
        <v>1363</v>
      </c>
      <c r="D291" s="5" t="s">
        <v>1364</v>
      </c>
      <c r="E291" s="5" t="s">
        <v>182</v>
      </c>
      <c r="F291" s="5" t="s">
        <v>148</v>
      </c>
      <c r="G291" s="5" t="s">
        <v>1365</v>
      </c>
      <c r="H291" s="5" t="s">
        <v>1366</v>
      </c>
    </row>
    <row r="292" customFormat="false" ht="15" hidden="false" customHeight="false" outlineLevel="0" collapsed="false">
      <c r="A292" s="5" t="s">
        <v>1367</v>
      </c>
      <c r="B292" s="5" t="s">
        <v>10</v>
      </c>
      <c r="C292" s="5" t="s">
        <v>1368</v>
      </c>
      <c r="D292" s="5" t="s">
        <v>1369</v>
      </c>
      <c r="E292" s="5" t="s">
        <v>182</v>
      </c>
      <c r="F292" s="5" t="s">
        <v>183</v>
      </c>
      <c r="G292" s="5" t="s">
        <v>1370</v>
      </c>
      <c r="H292" s="5" t="s">
        <v>1371</v>
      </c>
    </row>
    <row r="293" customFormat="false" ht="15" hidden="false" customHeight="false" outlineLevel="0" collapsed="false">
      <c r="A293" s="5" t="s">
        <v>1372</v>
      </c>
      <c r="B293" s="5" t="s">
        <v>1373</v>
      </c>
      <c r="C293" s="5" t="s">
        <v>27</v>
      </c>
      <c r="D293" s="5" t="s">
        <v>1374</v>
      </c>
      <c r="E293" s="5" t="s">
        <v>147</v>
      </c>
      <c r="F293" s="5" t="s">
        <v>161</v>
      </c>
      <c r="G293" s="5" t="s">
        <v>1375</v>
      </c>
      <c r="H293" s="5" t="s">
        <v>1376</v>
      </c>
    </row>
    <row r="294" customFormat="false" ht="15" hidden="false" customHeight="false" outlineLevel="0" collapsed="false">
      <c r="A294" s="5" t="s">
        <v>1377</v>
      </c>
      <c r="B294" s="5" t="s">
        <v>46</v>
      </c>
      <c r="C294" s="5" t="s">
        <v>1378</v>
      </c>
      <c r="D294" s="5" t="s">
        <v>223</v>
      </c>
      <c r="E294" s="5" t="s">
        <v>154</v>
      </c>
      <c r="F294" s="5" t="s">
        <v>161</v>
      </c>
      <c r="G294" s="5" t="s">
        <v>1379</v>
      </c>
      <c r="H294" s="5" t="s">
        <v>1380</v>
      </c>
    </row>
    <row r="295" customFormat="false" ht="15" hidden="false" customHeight="false" outlineLevel="0" collapsed="false">
      <c r="A295" s="5" t="s">
        <v>1381</v>
      </c>
      <c r="B295" s="5" t="s">
        <v>133</v>
      </c>
      <c r="C295" s="5" t="s">
        <v>262</v>
      </c>
      <c r="D295" s="5" t="s">
        <v>1382</v>
      </c>
      <c r="E295" s="5" t="s">
        <v>182</v>
      </c>
      <c r="F295" s="5" t="s">
        <v>161</v>
      </c>
      <c r="G295" s="5" t="s">
        <v>1383</v>
      </c>
      <c r="H295" s="5" t="s">
        <v>1384</v>
      </c>
    </row>
    <row r="296" customFormat="false" ht="15" hidden="false" customHeight="false" outlineLevel="0" collapsed="false">
      <c r="A296" s="5" t="s">
        <v>1385</v>
      </c>
      <c r="B296" s="5" t="s">
        <v>1386</v>
      </c>
      <c r="C296" s="5" t="s">
        <v>51</v>
      </c>
      <c r="D296" s="5" t="s">
        <v>657</v>
      </c>
      <c r="E296" s="5" t="s">
        <v>154</v>
      </c>
      <c r="F296" s="5" t="s">
        <v>161</v>
      </c>
      <c r="G296" s="5" t="s">
        <v>1387</v>
      </c>
      <c r="H296" s="5" t="s">
        <v>1388</v>
      </c>
    </row>
    <row r="297" customFormat="false" ht="15" hidden="false" customHeight="false" outlineLevel="0" collapsed="false">
      <c r="A297" s="5" t="s">
        <v>1389</v>
      </c>
      <c r="B297" s="5" t="s">
        <v>14</v>
      </c>
      <c r="C297" s="5" t="s">
        <v>418</v>
      </c>
      <c r="D297" s="5" t="s">
        <v>1390</v>
      </c>
      <c r="E297" s="5" t="s">
        <v>201</v>
      </c>
      <c r="F297" s="5" t="s">
        <v>190</v>
      </c>
      <c r="G297" s="5" t="s">
        <v>1391</v>
      </c>
      <c r="H297" s="5" t="s">
        <v>1392</v>
      </c>
    </row>
    <row r="298" customFormat="false" ht="15" hidden="false" customHeight="false" outlineLevel="0" collapsed="false">
      <c r="A298" s="5" t="s">
        <v>1393</v>
      </c>
      <c r="B298" s="5" t="s">
        <v>1394</v>
      </c>
      <c r="C298" s="5" t="s">
        <v>72</v>
      </c>
      <c r="D298" s="5" t="s">
        <v>645</v>
      </c>
      <c r="E298" s="5" t="s">
        <v>154</v>
      </c>
      <c r="F298" s="5" t="s">
        <v>183</v>
      </c>
      <c r="G298" s="5" t="s">
        <v>1395</v>
      </c>
      <c r="H298" s="5" t="s">
        <v>1396</v>
      </c>
    </row>
    <row r="299" customFormat="false" ht="15" hidden="false" customHeight="false" outlineLevel="0" collapsed="false">
      <c r="A299" s="5" t="s">
        <v>1397</v>
      </c>
      <c r="B299" s="5" t="s">
        <v>124</v>
      </c>
      <c r="C299" s="5" t="s">
        <v>125</v>
      </c>
      <c r="D299" s="5" t="s">
        <v>1398</v>
      </c>
      <c r="E299" s="5" t="s">
        <v>160</v>
      </c>
      <c r="F299" s="5" t="s">
        <v>148</v>
      </c>
      <c r="G299" s="5" t="s">
        <v>1399</v>
      </c>
      <c r="H299" s="5" t="s">
        <v>1400</v>
      </c>
    </row>
    <row r="300" customFormat="false" ht="15" hidden="false" customHeight="false" outlineLevel="0" collapsed="false">
      <c r="A300" s="5" t="s">
        <v>579</v>
      </c>
      <c r="B300" s="5" t="s">
        <v>17</v>
      </c>
      <c r="C300" s="5" t="s">
        <v>18</v>
      </c>
      <c r="D300" s="5" t="s">
        <v>580</v>
      </c>
      <c r="E300" s="5" t="s">
        <v>201</v>
      </c>
      <c r="F300" s="5" t="s">
        <v>190</v>
      </c>
      <c r="G300" s="5" t="s">
        <v>581</v>
      </c>
      <c r="H300" s="5" t="s">
        <v>582</v>
      </c>
    </row>
    <row r="301" customFormat="false" ht="15" hidden="false" customHeight="false" outlineLevel="0" collapsed="false">
      <c r="A301" s="5" t="s">
        <v>1401</v>
      </c>
      <c r="B301" s="5" t="s">
        <v>26</v>
      </c>
      <c r="C301" s="5" t="s">
        <v>1402</v>
      </c>
      <c r="D301" s="5" t="s">
        <v>1403</v>
      </c>
      <c r="E301" s="5" t="s">
        <v>171</v>
      </c>
      <c r="F301" s="5" t="s">
        <v>148</v>
      </c>
      <c r="G301" s="5" t="s">
        <v>1404</v>
      </c>
      <c r="H301" s="5" t="s">
        <v>1405</v>
      </c>
    </row>
    <row r="302" customFormat="false" ht="15" hidden="false" customHeight="false" outlineLevel="0" collapsed="false">
      <c r="A302" s="5" t="s">
        <v>1406</v>
      </c>
      <c r="B302" s="5" t="s">
        <v>102</v>
      </c>
      <c r="C302" s="5" t="s">
        <v>945</v>
      </c>
      <c r="D302" s="5" t="s">
        <v>1407</v>
      </c>
      <c r="E302" s="5" t="s">
        <v>201</v>
      </c>
      <c r="F302" s="5" t="s">
        <v>190</v>
      </c>
      <c r="G302" s="5" t="s">
        <v>1408</v>
      </c>
      <c r="H302" s="5" t="s">
        <v>1409</v>
      </c>
    </row>
    <row r="303" customFormat="false" ht="15" hidden="false" customHeight="false" outlineLevel="0" collapsed="false">
      <c r="A303" s="5" t="s">
        <v>1410</v>
      </c>
      <c r="B303" s="5" t="s">
        <v>112</v>
      </c>
      <c r="C303" s="5" t="s">
        <v>1411</v>
      </c>
      <c r="D303" s="5" t="s">
        <v>1089</v>
      </c>
      <c r="E303" s="5" t="s">
        <v>147</v>
      </c>
      <c r="F303" s="5" t="s">
        <v>161</v>
      </c>
      <c r="G303" s="5" t="s">
        <v>1412</v>
      </c>
      <c r="H303" s="5" t="s">
        <v>1413</v>
      </c>
    </row>
    <row r="304" customFormat="false" ht="15" hidden="false" customHeight="false" outlineLevel="0" collapsed="false">
      <c r="A304" s="5" t="s">
        <v>1414</v>
      </c>
      <c r="B304" s="5" t="s">
        <v>81</v>
      </c>
      <c r="C304" s="5" t="s">
        <v>82</v>
      </c>
      <c r="D304" s="5" t="s">
        <v>901</v>
      </c>
      <c r="E304" s="5" t="s">
        <v>160</v>
      </c>
      <c r="F304" s="5" t="s">
        <v>155</v>
      </c>
      <c r="G304" s="5" t="s">
        <v>1415</v>
      </c>
      <c r="H304" s="5" t="s">
        <v>1416</v>
      </c>
    </row>
    <row r="305" customFormat="false" ht="15" hidden="false" customHeight="false" outlineLevel="0" collapsed="false">
      <c r="A305" s="5" t="s">
        <v>1417</v>
      </c>
      <c r="B305" s="5" t="s">
        <v>46</v>
      </c>
      <c r="C305" s="5" t="s">
        <v>1378</v>
      </c>
      <c r="D305" s="5" t="s">
        <v>432</v>
      </c>
      <c r="E305" s="5" t="s">
        <v>195</v>
      </c>
      <c r="F305" s="5" t="s">
        <v>148</v>
      </c>
      <c r="G305" s="5" t="s">
        <v>1418</v>
      </c>
      <c r="H305" s="5" t="s">
        <v>1419</v>
      </c>
    </row>
    <row r="306" customFormat="false" ht="15" hidden="false" customHeight="false" outlineLevel="0" collapsed="false">
      <c r="A306" s="5" t="s">
        <v>1420</v>
      </c>
      <c r="B306" s="5" t="s">
        <v>122</v>
      </c>
      <c r="C306" s="5" t="s">
        <v>123</v>
      </c>
      <c r="D306" s="5" t="s">
        <v>1114</v>
      </c>
      <c r="E306" s="5" t="s">
        <v>171</v>
      </c>
      <c r="F306" s="5" t="s">
        <v>148</v>
      </c>
      <c r="G306" s="5" t="s">
        <v>1421</v>
      </c>
      <c r="H306" s="5" t="s">
        <v>1422</v>
      </c>
    </row>
    <row r="307" customFormat="false" ht="15" hidden="false" customHeight="false" outlineLevel="0" collapsed="false">
      <c r="A307" s="5" t="s">
        <v>1423</v>
      </c>
      <c r="B307" s="5" t="s">
        <v>94</v>
      </c>
      <c r="C307" s="5" t="s">
        <v>95</v>
      </c>
      <c r="D307" s="5" t="s">
        <v>1424</v>
      </c>
      <c r="E307" s="5" t="s">
        <v>171</v>
      </c>
      <c r="F307" s="5" t="s">
        <v>161</v>
      </c>
      <c r="G307" s="5" t="s">
        <v>1425</v>
      </c>
      <c r="H307" s="5" t="s">
        <v>1426</v>
      </c>
    </row>
    <row r="308" customFormat="false" ht="15" hidden="false" customHeight="false" outlineLevel="0" collapsed="false">
      <c r="A308" s="5" t="s">
        <v>1427</v>
      </c>
      <c r="B308" s="5" t="s">
        <v>118</v>
      </c>
      <c r="C308" s="5" t="s">
        <v>119</v>
      </c>
      <c r="D308" s="5" t="s">
        <v>1166</v>
      </c>
      <c r="E308" s="5" t="s">
        <v>147</v>
      </c>
      <c r="F308" s="5" t="s">
        <v>148</v>
      </c>
      <c r="G308" s="5" t="s">
        <v>1428</v>
      </c>
      <c r="H308" s="5" t="s">
        <v>1429</v>
      </c>
    </row>
    <row r="309" customFormat="false" ht="15" hidden="false" customHeight="false" outlineLevel="0" collapsed="false">
      <c r="A309" s="5" t="s">
        <v>1430</v>
      </c>
      <c r="B309" s="5" t="s">
        <v>55</v>
      </c>
      <c r="C309" s="5" t="s">
        <v>1431</v>
      </c>
      <c r="D309" s="5" t="s">
        <v>1432</v>
      </c>
      <c r="E309" s="5" t="s">
        <v>189</v>
      </c>
      <c r="F309" s="5" t="s">
        <v>190</v>
      </c>
      <c r="G309" s="5" t="s">
        <v>1433</v>
      </c>
      <c r="H309" s="5" t="s">
        <v>1434</v>
      </c>
    </row>
    <row r="310" customFormat="false" ht="15" hidden="false" customHeight="false" outlineLevel="0" collapsed="false">
      <c r="A310" s="5" t="s">
        <v>1435</v>
      </c>
      <c r="B310" s="5" t="s">
        <v>466</v>
      </c>
      <c r="C310" s="5" t="s">
        <v>11</v>
      </c>
      <c r="D310" s="5" t="s">
        <v>1436</v>
      </c>
      <c r="E310" s="5" t="s">
        <v>147</v>
      </c>
      <c r="F310" s="5" t="s">
        <v>190</v>
      </c>
      <c r="G310" s="5" t="s">
        <v>1437</v>
      </c>
      <c r="H310" s="5" t="s">
        <v>1438</v>
      </c>
    </row>
    <row r="311" customFormat="false" ht="15" hidden="false" customHeight="false" outlineLevel="0" collapsed="false">
      <c r="A311" s="5" t="s">
        <v>1439</v>
      </c>
      <c r="B311" s="5" t="s">
        <v>17</v>
      </c>
      <c r="C311" s="5" t="s">
        <v>18</v>
      </c>
      <c r="D311" s="5" t="s">
        <v>1440</v>
      </c>
      <c r="E311" s="5" t="s">
        <v>243</v>
      </c>
      <c r="F311" s="5" t="s">
        <v>190</v>
      </c>
      <c r="G311" s="5" t="s">
        <v>1441</v>
      </c>
      <c r="H311" s="5" t="s">
        <v>1442</v>
      </c>
    </row>
    <row r="312" customFormat="false" ht="15" hidden="false" customHeight="false" outlineLevel="0" collapsed="false">
      <c r="A312" s="5" t="s">
        <v>1443</v>
      </c>
      <c r="B312" s="5" t="s">
        <v>41</v>
      </c>
      <c r="C312" s="5" t="s">
        <v>42</v>
      </c>
      <c r="D312" s="5" t="s">
        <v>379</v>
      </c>
      <c r="E312" s="5" t="s">
        <v>147</v>
      </c>
      <c r="F312" s="5" t="s">
        <v>161</v>
      </c>
      <c r="G312" s="5" t="s">
        <v>1444</v>
      </c>
      <c r="H312" s="5" t="s">
        <v>1445</v>
      </c>
    </row>
    <row r="313" customFormat="false" ht="15" hidden="false" customHeight="false" outlineLevel="0" collapsed="false">
      <c r="A313" s="5" t="s">
        <v>1446</v>
      </c>
      <c r="B313" s="5" t="s">
        <v>127</v>
      </c>
      <c r="C313" s="5" t="s">
        <v>1447</v>
      </c>
      <c r="D313" s="5" t="s">
        <v>1448</v>
      </c>
      <c r="E313" s="5" t="s">
        <v>171</v>
      </c>
      <c r="F313" s="5" t="s">
        <v>190</v>
      </c>
      <c r="G313" s="5" t="s">
        <v>1449</v>
      </c>
      <c r="H313" s="5" t="s">
        <v>1450</v>
      </c>
    </row>
    <row r="314" customFormat="false" ht="15" hidden="false" customHeight="false" outlineLevel="0" collapsed="false">
      <c r="A314" s="5" t="s">
        <v>1451</v>
      </c>
      <c r="B314" s="5" t="s">
        <v>46</v>
      </c>
      <c r="C314" s="5" t="s">
        <v>1248</v>
      </c>
      <c r="D314" s="5" t="s">
        <v>1452</v>
      </c>
      <c r="E314" s="5" t="s">
        <v>201</v>
      </c>
      <c r="F314" s="5" t="s">
        <v>190</v>
      </c>
      <c r="G314" s="5" t="s">
        <v>1453</v>
      </c>
      <c r="H314" s="5" t="s">
        <v>1454</v>
      </c>
    </row>
    <row r="315" customFormat="false" ht="15" hidden="false" customHeight="false" outlineLevel="0" collapsed="false">
      <c r="A315" s="5" t="s">
        <v>1455</v>
      </c>
      <c r="B315" s="5" t="s">
        <v>102</v>
      </c>
      <c r="C315" s="5" t="s">
        <v>103</v>
      </c>
      <c r="D315" s="5" t="s">
        <v>467</v>
      </c>
      <c r="E315" s="5" t="s">
        <v>171</v>
      </c>
      <c r="F315" s="5" t="s">
        <v>161</v>
      </c>
      <c r="G315" s="5" t="s">
        <v>1456</v>
      </c>
      <c r="H315" s="5" t="s">
        <v>1457</v>
      </c>
    </row>
    <row r="316" customFormat="false" ht="15" hidden="false" customHeight="false" outlineLevel="0" collapsed="false">
      <c r="A316" s="5" t="s">
        <v>1458</v>
      </c>
      <c r="B316" s="5" t="s">
        <v>50</v>
      </c>
      <c r="C316" s="5" t="s">
        <v>51</v>
      </c>
      <c r="D316" s="5" t="s">
        <v>1459</v>
      </c>
      <c r="E316" s="5" t="s">
        <v>171</v>
      </c>
      <c r="F316" s="5" t="s">
        <v>190</v>
      </c>
      <c r="G316" s="5" t="s">
        <v>1460</v>
      </c>
      <c r="H316" s="5" t="s">
        <v>1461</v>
      </c>
    </row>
    <row r="317" customFormat="false" ht="15" hidden="false" customHeight="false" outlineLevel="0" collapsed="false">
      <c r="A317" s="5" t="s">
        <v>1462</v>
      </c>
      <c r="B317" s="5" t="s">
        <v>1463</v>
      </c>
      <c r="C317" s="5" t="s">
        <v>344</v>
      </c>
      <c r="D317" s="5" t="s">
        <v>1464</v>
      </c>
      <c r="E317" s="5" t="s">
        <v>195</v>
      </c>
      <c r="F317" s="5" t="s">
        <v>148</v>
      </c>
      <c r="G317" s="5" t="s">
        <v>1465</v>
      </c>
      <c r="H317" s="5" t="s">
        <v>1466</v>
      </c>
    </row>
    <row r="318" customFormat="false" ht="15" hidden="false" customHeight="false" outlineLevel="0" collapsed="false">
      <c r="A318" s="5" t="s">
        <v>1467</v>
      </c>
      <c r="B318" s="5" t="s">
        <v>65</v>
      </c>
      <c r="C318" s="5" t="s">
        <v>623</v>
      </c>
      <c r="D318" s="5" t="s">
        <v>958</v>
      </c>
      <c r="E318" s="5" t="s">
        <v>176</v>
      </c>
      <c r="F318" s="5" t="s">
        <v>190</v>
      </c>
      <c r="G318" s="5" t="s">
        <v>1468</v>
      </c>
      <c r="H318" s="5" t="s">
        <v>1469</v>
      </c>
    </row>
    <row r="319" customFormat="false" ht="15" hidden="false" customHeight="false" outlineLevel="0" collapsed="false">
      <c r="A319" s="5" t="s">
        <v>1470</v>
      </c>
      <c r="B319" s="5" t="s">
        <v>34</v>
      </c>
      <c r="C319" s="5" t="s">
        <v>35</v>
      </c>
      <c r="D319" s="5" t="s">
        <v>1471</v>
      </c>
      <c r="E319" s="5" t="s">
        <v>171</v>
      </c>
      <c r="F319" s="5" t="s">
        <v>155</v>
      </c>
      <c r="G319" s="5" t="s">
        <v>1472</v>
      </c>
      <c r="H319" s="5" t="s">
        <v>1473</v>
      </c>
    </row>
    <row r="320" customFormat="false" ht="15" hidden="false" customHeight="false" outlineLevel="0" collapsed="false">
      <c r="A320" s="5" t="s">
        <v>1474</v>
      </c>
      <c r="B320" s="5" t="s">
        <v>104</v>
      </c>
      <c r="C320" s="5" t="s">
        <v>1101</v>
      </c>
      <c r="D320" s="5" t="s">
        <v>1303</v>
      </c>
      <c r="E320" s="5" t="s">
        <v>243</v>
      </c>
      <c r="F320" s="5" t="s">
        <v>148</v>
      </c>
      <c r="G320" s="5" t="s">
        <v>1475</v>
      </c>
      <c r="H320" s="5" t="s">
        <v>1476</v>
      </c>
    </row>
    <row r="321" customFormat="false" ht="15" hidden="false" customHeight="false" outlineLevel="0" collapsed="false">
      <c r="A321" s="5" t="s">
        <v>1477</v>
      </c>
      <c r="B321" s="5" t="s">
        <v>92</v>
      </c>
      <c r="C321" s="5" t="s">
        <v>407</v>
      </c>
      <c r="D321" s="5" t="s">
        <v>783</v>
      </c>
      <c r="E321" s="5" t="s">
        <v>176</v>
      </c>
      <c r="F321" s="5" t="s">
        <v>148</v>
      </c>
      <c r="G321" s="5" t="s">
        <v>1478</v>
      </c>
      <c r="H321" s="5" t="s">
        <v>1479</v>
      </c>
    </row>
    <row r="322" customFormat="false" ht="15" hidden="false" customHeight="false" outlineLevel="0" collapsed="false">
      <c r="A322" s="5" t="s">
        <v>1480</v>
      </c>
      <c r="B322" s="5" t="s">
        <v>85</v>
      </c>
      <c r="C322" s="5" t="s">
        <v>86</v>
      </c>
      <c r="D322" s="5" t="s">
        <v>1481</v>
      </c>
      <c r="E322" s="5" t="s">
        <v>195</v>
      </c>
      <c r="F322" s="5" t="s">
        <v>148</v>
      </c>
      <c r="G322" s="5" t="s">
        <v>1482</v>
      </c>
      <c r="H322" s="5" t="s">
        <v>1483</v>
      </c>
    </row>
    <row r="323" customFormat="false" ht="15" hidden="false" customHeight="false" outlineLevel="0" collapsed="false">
      <c r="A323" s="5" t="s">
        <v>1484</v>
      </c>
      <c r="B323" s="5" t="s">
        <v>1485</v>
      </c>
      <c r="C323" s="5" t="s">
        <v>68</v>
      </c>
      <c r="D323" s="5" t="s">
        <v>1123</v>
      </c>
      <c r="E323" s="5" t="s">
        <v>171</v>
      </c>
      <c r="F323" s="5" t="s">
        <v>190</v>
      </c>
      <c r="G323" s="5" t="s">
        <v>1486</v>
      </c>
      <c r="H323" s="5" t="s">
        <v>1487</v>
      </c>
    </row>
    <row r="324" customFormat="false" ht="15" hidden="false" customHeight="false" outlineLevel="0" collapsed="false">
      <c r="A324" s="5" t="s">
        <v>289</v>
      </c>
      <c r="B324" s="5" t="s">
        <v>69</v>
      </c>
      <c r="C324" s="5" t="s">
        <v>290</v>
      </c>
      <c r="D324" s="5" t="s">
        <v>291</v>
      </c>
      <c r="E324" s="5" t="s">
        <v>147</v>
      </c>
      <c r="F324" s="5" t="s">
        <v>155</v>
      </c>
      <c r="G324" s="5" t="s">
        <v>292</v>
      </c>
      <c r="H324" s="5" t="s">
        <v>293</v>
      </c>
    </row>
    <row r="325" customFormat="false" ht="15" hidden="false" customHeight="false" outlineLevel="0" collapsed="false">
      <c r="A325" s="5" t="s">
        <v>1488</v>
      </c>
      <c r="B325" s="5" t="s">
        <v>50</v>
      </c>
      <c r="C325" s="5" t="s">
        <v>1489</v>
      </c>
      <c r="D325" s="5" t="s">
        <v>1157</v>
      </c>
      <c r="E325" s="5" t="s">
        <v>147</v>
      </c>
      <c r="F325" s="5" t="s">
        <v>161</v>
      </c>
      <c r="G325" s="5" t="s">
        <v>1490</v>
      </c>
      <c r="H325" s="5" t="s">
        <v>1491</v>
      </c>
    </row>
    <row r="326" customFormat="false" ht="15" hidden="false" customHeight="false" outlineLevel="0" collapsed="false">
      <c r="A326" s="5" t="s">
        <v>1492</v>
      </c>
      <c r="B326" s="5" t="s">
        <v>1493</v>
      </c>
      <c r="C326" s="5" t="s">
        <v>76</v>
      </c>
      <c r="D326" s="5" t="s">
        <v>1494</v>
      </c>
      <c r="E326" s="5" t="s">
        <v>171</v>
      </c>
      <c r="F326" s="5" t="s">
        <v>161</v>
      </c>
      <c r="G326" s="5" t="s">
        <v>1495</v>
      </c>
      <c r="H326" s="5" t="s">
        <v>1496</v>
      </c>
    </row>
    <row r="327" customFormat="false" ht="15" hidden="false" customHeight="false" outlineLevel="0" collapsed="false">
      <c r="A327" s="5" t="s">
        <v>1497</v>
      </c>
      <c r="B327" s="5" t="s">
        <v>100</v>
      </c>
      <c r="C327" s="5" t="s">
        <v>101</v>
      </c>
      <c r="D327" s="5" t="s">
        <v>1230</v>
      </c>
      <c r="E327" s="5" t="s">
        <v>147</v>
      </c>
      <c r="F327" s="5" t="s">
        <v>190</v>
      </c>
      <c r="G327" s="5" t="s">
        <v>1498</v>
      </c>
      <c r="H327" s="5" t="s">
        <v>1499</v>
      </c>
    </row>
    <row r="328" customFormat="false" ht="15" hidden="false" customHeight="false" outlineLevel="0" collapsed="false">
      <c r="A328" s="5" t="s">
        <v>1500</v>
      </c>
      <c r="B328" s="5" t="s">
        <v>106</v>
      </c>
      <c r="C328" s="5" t="s">
        <v>105</v>
      </c>
      <c r="D328" s="5" t="s">
        <v>737</v>
      </c>
      <c r="E328" s="5" t="s">
        <v>171</v>
      </c>
      <c r="F328" s="5" t="s">
        <v>148</v>
      </c>
      <c r="G328" s="5" t="s">
        <v>1501</v>
      </c>
      <c r="H328" s="5" t="s">
        <v>1502</v>
      </c>
    </row>
    <row r="329" customFormat="false" ht="15" hidden="false" customHeight="false" outlineLevel="0" collapsed="false">
      <c r="A329" s="5" t="s">
        <v>1503</v>
      </c>
      <c r="B329" s="5" t="s">
        <v>44</v>
      </c>
      <c r="C329" s="5" t="s">
        <v>368</v>
      </c>
      <c r="D329" s="5" t="s">
        <v>1504</v>
      </c>
      <c r="E329" s="5" t="s">
        <v>243</v>
      </c>
      <c r="F329" s="5" t="s">
        <v>190</v>
      </c>
      <c r="G329" s="5" t="s">
        <v>1505</v>
      </c>
      <c r="H329" s="5" t="s">
        <v>1506</v>
      </c>
    </row>
    <row r="330" customFormat="false" ht="15" hidden="false" customHeight="false" outlineLevel="0" collapsed="false">
      <c r="A330" s="5" t="s">
        <v>1507</v>
      </c>
      <c r="B330" s="5" t="s">
        <v>65</v>
      </c>
      <c r="C330" s="5" t="s">
        <v>475</v>
      </c>
      <c r="D330" s="5" t="s">
        <v>1508</v>
      </c>
      <c r="E330" s="5" t="s">
        <v>243</v>
      </c>
      <c r="F330" s="5" t="s">
        <v>190</v>
      </c>
      <c r="G330" s="5" t="s">
        <v>1509</v>
      </c>
      <c r="H330" s="5" t="s">
        <v>1510</v>
      </c>
    </row>
    <row r="331" customFormat="false" ht="15" hidden="false" customHeight="false" outlineLevel="0" collapsed="false">
      <c r="A331" s="5" t="s">
        <v>1511</v>
      </c>
      <c r="B331" s="5" t="s">
        <v>1512</v>
      </c>
      <c r="C331" s="5" t="s">
        <v>1061</v>
      </c>
      <c r="D331" s="5" t="s">
        <v>977</v>
      </c>
      <c r="E331" s="5" t="s">
        <v>171</v>
      </c>
      <c r="F331" s="5" t="s">
        <v>190</v>
      </c>
      <c r="G331" s="5" t="s">
        <v>1513</v>
      </c>
      <c r="H331" s="5" t="s">
        <v>1514</v>
      </c>
    </row>
    <row r="332" customFormat="false" ht="15" hidden="false" customHeight="false" outlineLevel="0" collapsed="false">
      <c r="A332" s="5" t="s">
        <v>1515</v>
      </c>
      <c r="B332" s="5" t="s">
        <v>38</v>
      </c>
      <c r="C332" s="5" t="s">
        <v>1516</v>
      </c>
      <c r="D332" s="5" t="s">
        <v>859</v>
      </c>
      <c r="E332" s="5" t="s">
        <v>154</v>
      </c>
      <c r="F332" s="5" t="s">
        <v>190</v>
      </c>
      <c r="G332" s="5" t="s">
        <v>1517</v>
      </c>
      <c r="H332" s="5" t="s">
        <v>1518</v>
      </c>
    </row>
    <row r="333" customFormat="false" ht="15" hidden="false" customHeight="false" outlineLevel="0" collapsed="false">
      <c r="A333" s="5" t="s">
        <v>1519</v>
      </c>
      <c r="B333" s="5" t="s">
        <v>71</v>
      </c>
      <c r="C333" s="5" t="s">
        <v>858</v>
      </c>
      <c r="D333" s="5" t="s">
        <v>1520</v>
      </c>
      <c r="E333" s="5" t="s">
        <v>154</v>
      </c>
      <c r="F333" s="5" t="s">
        <v>161</v>
      </c>
      <c r="G333" s="5" t="s">
        <v>1521</v>
      </c>
      <c r="H333" s="5" t="s">
        <v>1522</v>
      </c>
    </row>
    <row r="334" customFormat="false" ht="15" hidden="false" customHeight="false" outlineLevel="0" collapsed="false">
      <c r="A334" s="5" t="s">
        <v>1523</v>
      </c>
      <c r="B334" s="5" t="s">
        <v>63</v>
      </c>
      <c r="C334" s="5" t="s">
        <v>64</v>
      </c>
      <c r="D334" s="5" t="s">
        <v>1194</v>
      </c>
      <c r="E334" s="5" t="s">
        <v>160</v>
      </c>
      <c r="F334" s="5" t="s">
        <v>161</v>
      </c>
      <c r="G334" s="5" t="s">
        <v>1524</v>
      </c>
      <c r="H334" s="5" t="s">
        <v>1525</v>
      </c>
    </row>
    <row r="335" customFormat="false" ht="15" hidden="false" customHeight="false" outlineLevel="0" collapsed="false">
      <c r="A335" s="5" t="s">
        <v>1526</v>
      </c>
      <c r="B335" s="5" t="s">
        <v>90</v>
      </c>
      <c r="C335" s="5" t="s">
        <v>1527</v>
      </c>
      <c r="D335" s="5" t="s">
        <v>268</v>
      </c>
      <c r="E335" s="5" t="s">
        <v>182</v>
      </c>
      <c r="F335" s="5" t="s">
        <v>190</v>
      </c>
      <c r="G335" s="5" t="s">
        <v>1528</v>
      </c>
      <c r="H335" s="5" t="s">
        <v>1529</v>
      </c>
    </row>
    <row r="336" customFormat="false" ht="15" hidden="false" customHeight="false" outlineLevel="0" collapsed="false">
      <c r="A336" s="5" t="s">
        <v>1530</v>
      </c>
      <c r="B336" s="5" t="s">
        <v>83</v>
      </c>
      <c r="C336" s="5" t="s">
        <v>84</v>
      </c>
      <c r="D336" s="5" t="s">
        <v>1531</v>
      </c>
      <c r="E336" s="5" t="s">
        <v>171</v>
      </c>
      <c r="F336" s="5" t="s">
        <v>148</v>
      </c>
      <c r="G336" s="5" t="s">
        <v>1532</v>
      </c>
      <c r="H336" s="5" t="s">
        <v>1533</v>
      </c>
    </row>
    <row r="337" customFormat="false" ht="15" hidden="false" customHeight="false" outlineLevel="0" collapsed="false">
      <c r="A337" s="5" t="s">
        <v>1534</v>
      </c>
      <c r="B337" s="5" t="s">
        <v>63</v>
      </c>
      <c r="C337" s="5" t="s">
        <v>1535</v>
      </c>
      <c r="D337" s="5" t="s">
        <v>1536</v>
      </c>
      <c r="E337" s="5" t="s">
        <v>176</v>
      </c>
      <c r="F337" s="5" t="s">
        <v>190</v>
      </c>
      <c r="G337" s="5" t="s">
        <v>1537</v>
      </c>
      <c r="H337" s="5" t="s">
        <v>1538</v>
      </c>
    </row>
    <row r="338" customFormat="false" ht="15" hidden="false" customHeight="false" outlineLevel="0" collapsed="false">
      <c r="A338" s="5" t="s">
        <v>802</v>
      </c>
      <c r="B338" s="5" t="s">
        <v>127</v>
      </c>
      <c r="C338" s="5" t="s">
        <v>803</v>
      </c>
      <c r="D338" s="5" t="s">
        <v>804</v>
      </c>
      <c r="E338" s="5" t="s">
        <v>189</v>
      </c>
      <c r="F338" s="5" t="s">
        <v>190</v>
      </c>
      <c r="G338" s="5" t="s">
        <v>805</v>
      </c>
      <c r="H338" s="5" t="s">
        <v>806</v>
      </c>
    </row>
    <row r="339" customFormat="false" ht="15" hidden="false" customHeight="false" outlineLevel="0" collapsed="false">
      <c r="A339" s="5" t="s">
        <v>1539</v>
      </c>
      <c r="B339" s="5" t="s">
        <v>124</v>
      </c>
      <c r="C339" s="5" t="s">
        <v>353</v>
      </c>
      <c r="D339" s="5" t="s">
        <v>228</v>
      </c>
      <c r="E339" s="5" t="s">
        <v>176</v>
      </c>
      <c r="F339" s="5" t="s">
        <v>148</v>
      </c>
      <c r="G339" s="5" t="s">
        <v>1540</v>
      </c>
      <c r="H339" s="5" t="s">
        <v>1541</v>
      </c>
    </row>
    <row r="340" customFormat="false" ht="15" hidden="false" customHeight="false" outlineLevel="0" collapsed="false">
      <c r="A340" s="5" t="s">
        <v>1542</v>
      </c>
      <c r="B340" s="5" t="s">
        <v>46</v>
      </c>
      <c r="C340" s="5" t="s">
        <v>1248</v>
      </c>
      <c r="D340" s="5" t="s">
        <v>1194</v>
      </c>
      <c r="E340" s="5" t="s">
        <v>176</v>
      </c>
      <c r="F340" s="5" t="s">
        <v>161</v>
      </c>
      <c r="G340" s="5" t="s">
        <v>1543</v>
      </c>
      <c r="H340" s="5" t="s">
        <v>1544</v>
      </c>
    </row>
    <row r="341" customFormat="false" ht="15" hidden="false" customHeight="false" outlineLevel="0" collapsed="false">
      <c r="A341" s="5" t="s">
        <v>1545</v>
      </c>
      <c r="B341" s="5" t="s">
        <v>65</v>
      </c>
      <c r="C341" s="5" t="s">
        <v>475</v>
      </c>
      <c r="D341" s="5" t="s">
        <v>1546</v>
      </c>
      <c r="E341" s="5" t="s">
        <v>147</v>
      </c>
      <c r="F341" s="5" t="s">
        <v>190</v>
      </c>
      <c r="G341" s="5" t="s">
        <v>1547</v>
      </c>
      <c r="H341" s="5" t="s">
        <v>1548</v>
      </c>
    </row>
    <row r="342" customFormat="false" ht="15" hidden="false" customHeight="false" outlineLevel="0" collapsed="false">
      <c r="A342" s="5" t="s">
        <v>1549</v>
      </c>
      <c r="B342" s="5" t="s">
        <v>120</v>
      </c>
      <c r="C342" s="5" t="s">
        <v>1550</v>
      </c>
      <c r="D342" s="5" t="s">
        <v>1551</v>
      </c>
      <c r="E342" s="5" t="s">
        <v>147</v>
      </c>
      <c r="F342" s="5" t="s">
        <v>183</v>
      </c>
      <c r="G342" s="5" t="s">
        <v>1552</v>
      </c>
      <c r="H342" s="5" t="s">
        <v>1553</v>
      </c>
    </row>
    <row r="343" customFormat="false" ht="15" hidden="false" customHeight="false" outlineLevel="0" collapsed="false">
      <c r="A343" s="5" t="s">
        <v>1554</v>
      </c>
      <c r="B343" s="5" t="s">
        <v>59</v>
      </c>
      <c r="C343" s="5" t="s">
        <v>1555</v>
      </c>
      <c r="D343" s="5" t="s">
        <v>1556</v>
      </c>
      <c r="E343" s="5" t="s">
        <v>154</v>
      </c>
      <c r="F343" s="5" t="s">
        <v>190</v>
      </c>
      <c r="G343" s="5" t="s">
        <v>1557</v>
      </c>
      <c r="H343" s="5" t="s">
        <v>1558</v>
      </c>
    </row>
    <row r="344" customFormat="false" ht="15" hidden="false" customHeight="false" outlineLevel="0" collapsed="false">
      <c r="A344" s="5" t="s">
        <v>1559</v>
      </c>
      <c r="B344" s="5" t="s">
        <v>92</v>
      </c>
      <c r="C344" s="5" t="s">
        <v>456</v>
      </c>
      <c r="D344" s="5" t="s">
        <v>1560</v>
      </c>
      <c r="E344" s="5" t="s">
        <v>176</v>
      </c>
      <c r="F344" s="5" t="s">
        <v>148</v>
      </c>
      <c r="G344" s="5" t="s">
        <v>1561</v>
      </c>
      <c r="H344" s="5" t="s">
        <v>1562</v>
      </c>
    </row>
    <row r="345" customFormat="false" ht="15" hidden="false" customHeight="false" outlineLevel="0" collapsed="false">
      <c r="A345" s="5" t="s">
        <v>1563</v>
      </c>
      <c r="B345" s="5" t="s">
        <v>100</v>
      </c>
      <c r="C345" s="5" t="s">
        <v>101</v>
      </c>
      <c r="D345" s="5" t="s">
        <v>580</v>
      </c>
      <c r="E345" s="5" t="s">
        <v>195</v>
      </c>
      <c r="F345" s="5" t="s">
        <v>148</v>
      </c>
      <c r="G345" s="5" t="s">
        <v>1564</v>
      </c>
      <c r="H345" s="5" t="s">
        <v>1565</v>
      </c>
    </row>
    <row r="346" customFormat="false" ht="15" hidden="false" customHeight="false" outlineLevel="0" collapsed="false">
      <c r="A346" s="5" t="s">
        <v>1566</v>
      </c>
      <c r="B346" s="5" t="s">
        <v>85</v>
      </c>
      <c r="C346" s="5" t="s">
        <v>1567</v>
      </c>
      <c r="D346" s="5" t="s">
        <v>932</v>
      </c>
      <c r="E346" s="5" t="s">
        <v>243</v>
      </c>
      <c r="F346" s="5" t="s">
        <v>155</v>
      </c>
      <c r="G346" s="5" t="s">
        <v>1568</v>
      </c>
      <c r="H346" s="5" t="s">
        <v>1569</v>
      </c>
    </row>
    <row r="347" customFormat="false" ht="15" hidden="false" customHeight="false" outlineLevel="0" collapsed="false">
      <c r="A347" s="5" t="s">
        <v>1570</v>
      </c>
      <c r="B347" s="5" t="s">
        <v>48</v>
      </c>
      <c r="C347" s="5" t="s">
        <v>49</v>
      </c>
      <c r="D347" s="5" t="s">
        <v>897</v>
      </c>
      <c r="E347" s="5" t="s">
        <v>147</v>
      </c>
      <c r="F347" s="5" t="s">
        <v>190</v>
      </c>
      <c r="G347" s="5" t="s">
        <v>1571</v>
      </c>
      <c r="H347" s="5" t="s">
        <v>1572</v>
      </c>
    </row>
    <row r="348" customFormat="false" ht="15" hidden="false" customHeight="false" outlineLevel="0" collapsed="false">
      <c r="A348" s="5" t="s">
        <v>1573</v>
      </c>
      <c r="B348" s="5" t="s">
        <v>30</v>
      </c>
      <c r="C348" s="5" t="s">
        <v>609</v>
      </c>
      <c r="D348" s="5" t="s">
        <v>1574</v>
      </c>
      <c r="E348" s="5" t="s">
        <v>195</v>
      </c>
      <c r="F348" s="5" t="s">
        <v>161</v>
      </c>
      <c r="G348" s="5" t="s">
        <v>1575</v>
      </c>
      <c r="H348" s="5" t="s">
        <v>1576</v>
      </c>
    </row>
    <row r="349" customFormat="false" ht="15" hidden="false" customHeight="false" outlineLevel="0" collapsed="false">
      <c r="A349" s="5" t="s">
        <v>1577</v>
      </c>
      <c r="B349" s="5" t="s">
        <v>89</v>
      </c>
      <c r="C349" s="5" t="s">
        <v>782</v>
      </c>
      <c r="D349" s="5" t="s">
        <v>175</v>
      </c>
      <c r="E349" s="5" t="s">
        <v>154</v>
      </c>
      <c r="F349" s="5" t="s">
        <v>148</v>
      </c>
      <c r="G349" s="5" t="s">
        <v>1578</v>
      </c>
      <c r="H349" s="5" t="s">
        <v>1579</v>
      </c>
    </row>
    <row r="350" customFormat="false" ht="15" hidden="false" customHeight="false" outlineLevel="0" collapsed="false">
      <c r="A350" s="5" t="s">
        <v>1580</v>
      </c>
      <c r="B350" s="5" t="s">
        <v>1581</v>
      </c>
      <c r="C350" s="5" t="s">
        <v>914</v>
      </c>
      <c r="D350" s="5" t="s">
        <v>1582</v>
      </c>
      <c r="E350" s="5" t="s">
        <v>176</v>
      </c>
      <c r="F350" s="5" t="s">
        <v>161</v>
      </c>
      <c r="G350" s="5" t="s">
        <v>1583</v>
      </c>
      <c r="H350" s="5" t="s">
        <v>1584</v>
      </c>
    </row>
    <row r="351" customFormat="false" ht="15" hidden="false" customHeight="false" outlineLevel="0" collapsed="false">
      <c r="A351" s="5" t="s">
        <v>1585</v>
      </c>
      <c r="B351" s="5" t="s">
        <v>127</v>
      </c>
      <c r="C351" s="5" t="s">
        <v>803</v>
      </c>
      <c r="D351" s="5" t="s">
        <v>317</v>
      </c>
      <c r="E351" s="5" t="s">
        <v>171</v>
      </c>
      <c r="F351" s="5" t="s">
        <v>161</v>
      </c>
      <c r="G351" s="5" t="s">
        <v>1586</v>
      </c>
      <c r="H351" s="5" t="s">
        <v>1587</v>
      </c>
    </row>
    <row r="352" customFormat="false" ht="15" hidden="false" customHeight="false" outlineLevel="0" collapsed="false">
      <c r="A352" s="5" t="s">
        <v>1588</v>
      </c>
      <c r="B352" s="5" t="s">
        <v>24</v>
      </c>
      <c r="C352" s="5" t="s">
        <v>25</v>
      </c>
      <c r="D352" s="5" t="s">
        <v>1589</v>
      </c>
      <c r="E352" s="5" t="s">
        <v>154</v>
      </c>
      <c r="F352" s="5" t="s">
        <v>148</v>
      </c>
      <c r="G352" s="5" t="s">
        <v>1590</v>
      </c>
      <c r="H352" s="5" t="s">
        <v>1591</v>
      </c>
    </row>
    <row r="353" customFormat="false" ht="15" hidden="false" customHeight="false" outlineLevel="0" collapsed="false">
      <c r="A353" s="5" t="s">
        <v>1592</v>
      </c>
      <c r="B353" s="5" t="s">
        <v>1593</v>
      </c>
      <c r="C353" s="5" t="s">
        <v>252</v>
      </c>
      <c r="D353" s="5" t="s">
        <v>1076</v>
      </c>
      <c r="E353" s="5" t="s">
        <v>201</v>
      </c>
      <c r="F353" s="5" t="s">
        <v>161</v>
      </c>
      <c r="G353" s="5" t="s">
        <v>1594</v>
      </c>
      <c r="H353" s="5" t="s">
        <v>1595</v>
      </c>
    </row>
    <row r="354" customFormat="false" ht="15" hidden="false" customHeight="false" outlineLevel="0" collapsed="false">
      <c r="A354" s="5" t="s">
        <v>1596</v>
      </c>
      <c r="B354" s="5" t="s">
        <v>32</v>
      </c>
      <c r="C354" s="5" t="s">
        <v>1206</v>
      </c>
      <c r="D354" s="5" t="s">
        <v>1597</v>
      </c>
      <c r="E354" s="5" t="s">
        <v>182</v>
      </c>
      <c r="F354" s="5" t="s">
        <v>148</v>
      </c>
      <c r="G354" s="5" t="s">
        <v>1598</v>
      </c>
      <c r="H354" s="5" t="s">
        <v>1599</v>
      </c>
    </row>
    <row r="355" customFormat="false" ht="15" hidden="false" customHeight="false" outlineLevel="0" collapsed="false">
      <c r="A355" s="5" t="s">
        <v>1600</v>
      </c>
      <c r="B355" s="5" t="s">
        <v>90</v>
      </c>
      <c r="C355" s="5" t="s">
        <v>1601</v>
      </c>
      <c r="D355" s="5" t="s">
        <v>1602</v>
      </c>
      <c r="E355" s="5" t="s">
        <v>176</v>
      </c>
      <c r="F355" s="5" t="s">
        <v>161</v>
      </c>
      <c r="G355" s="5" t="s">
        <v>1603</v>
      </c>
      <c r="H355" s="5" t="s">
        <v>1604</v>
      </c>
    </row>
    <row r="356" customFormat="false" ht="15" hidden="false" customHeight="false" outlineLevel="0" collapsed="false">
      <c r="A356" s="5" t="s">
        <v>1605</v>
      </c>
      <c r="B356" s="5" t="s">
        <v>127</v>
      </c>
      <c r="C356" s="5" t="s">
        <v>128</v>
      </c>
      <c r="D356" s="5" t="s">
        <v>1606</v>
      </c>
      <c r="E356" s="5" t="s">
        <v>176</v>
      </c>
      <c r="F356" s="5" t="s">
        <v>183</v>
      </c>
      <c r="G356" s="5" t="s">
        <v>1607</v>
      </c>
      <c r="H356" s="5" t="s">
        <v>1608</v>
      </c>
    </row>
    <row r="357" customFormat="false" ht="15" hidden="false" customHeight="false" outlineLevel="0" collapsed="false">
      <c r="A357" s="5" t="s">
        <v>1609</v>
      </c>
      <c r="B357" s="5" t="s">
        <v>94</v>
      </c>
      <c r="C357" s="5" t="s">
        <v>427</v>
      </c>
      <c r="D357" s="5" t="s">
        <v>1610</v>
      </c>
      <c r="E357" s="5" t="s">
        <v>171</v>
      </c>
      <c r="F357" s="5" t="s">
        <v>161</v>
      </c>
      <c r="G357" s="5" t="s">
        <v>1611</v>
      </c>
      <c r="H357" s="5" t="s">
        <v>1612</v>
      </c>
    </row>
    <row r="358" customFormat="false" ht="15" hidden="false" customHeight="false" outlineLevel="0" collapsed="false">
      <c r="A358" s="5" t="s">
        <v>1613</v>
      </c>
      <c r="B358" s="5" t="s">
        <v>50</v>
      </c>
      <c r="C358" s="5" t="s">
        <v>1614</v>
      </c>
      <c r="D358" s="5" t="s">
        <v>1240</v>
      </c>
      <c r="E358" s="5" t="s">
        <v>189</v>
      </c>
      <c r="F358" s="5" t="s">
        <v>155</v>
      </c>
      <c r="G358" s="5" t="s">
        <v>1615</v>
      </c>
      <c r="H358" s="5" t="s">
        <v>1616</v>
      </c>
    </row>
    <row r="359" customFormat="false" ht="15" hidden="false" customHeight="false" outlineLevel="0" collapsed="false">
      <c r="A359" s="5" t="s">
        <v>1617</v>
      </c>
      <c r="B359" s="5" t="s">
        <v>90</v>
      </c>
      <c r="C359" s="5" t="s">
        <v>1601</v>
      </c>
      <c r="D359" s="5" t="s">
        <v>1618</v>
      </c>
      <c r="E359" s="5" t="s">
        <v>147</v>
      </c>
      <c r="F359" s="5" t="s">
        <v>155</v>
      </c>
      <c r="G359" s="5" t="s">
        <v>1619</v>
      </c>
      <c r="H359" s="5" t="s">
        <v>1620</v>
      </c>
    </row>
    <row r="360" customFormat="false" ht="15" hidden="false" customHeight="false" outlineLevel="0" collapsed="false">
      <c r="A360" s="5" t="s">
        <v>1621</v>
      </c>
      <c r="B360" s="5" t="s">
        <v>90</v>
      </c>
      <c r="C360" s="5" t="s">
        <v>1601</v>
      </c>
      <c r="D360" s="5" t="s">
        <v>1622</v>
      </c>
      <c r="E360" s="5" t="s">
        <v>195</v>
      </c>
      <c r="F360" s="5" t="s">
        <v>161</v>
      </c>
      <c r="G360" s="5" t="s">
        <v>1623</v>
      </c>
      <c r="H360" s="5" t="s">
        <v>1624</v>
      </c>
    </row>
    <row r="361" customFormat="false" ht="15" hidden="false" customHeight="false" outlineLevel="0" collapsed="false">
      <c r="A361" s="5" t="s">
        <v>1625</v>
      </c>
      <c r="B361" s="5" t="s">
        <v>73</v>
      </c>
      <c r="C361" s="5" t="s">
        <v>1626</v>
      </c>
      <c r="D361" s="5" t="s">
        <v>384</v>
      </c>
      <c r="E361" s="5" t="s">
        <v>154</v>
      </c>
      <c r="F361" s="5" t="s">
        <v>161</v>
      </c>
      <c r="G361" s="5" t="s">
        <v>1627</v>
      </c>
      <c r="H361" s="5" t="s">
        <v>1628</v>
      </c>
    </row>
    <row r="362" customFormat="false" ht="15" hidden="false" customHeight="false" outlineLevel="0" collapsed="false">
      <c r="A362" s="5" t="s">
        <v>1629</v>
      </c>
      <c r="B362" s="5" t="s">
        <v>65</v>
      </c>
      <c r="C362" s="5" t="s">
        <v>475</v>
      </c>
      <c r="D362" s="5" t="s">
        <v>1259</v>
      </c>
      <c r="E362" s="5" t="s">
        <v>243</v>
      </c>
      <c r="F362" s="5" t="s">
        <v>161</v>
      </c>
      <c r="G362" s="5" t="s">
        <v>1630</v>
      </c>
      <c r="H362" s="5" t="s">
        <v>1631</v>
      </c>
    </row>
    <row r="363" customFormat="false" ht="15" hidden="false" customHeight="false" outlineLevel="0" collapsed="false">
      <c r="A363" s="5" t="s">
        <v>1228</v>
      </c>
      <c r="B363" s="5" t="s">
        <v>106</v>
      </c>
      <c r="C363" s="5" t="s">
        <v>1229</v>
      </c>
      <c r="D363" s="5" t="s">
        <v>1230</v>
      </c>
      <c r="E363" s="5" t="s">
        <v>176</v>
      </c>
      <c r="F363" s="5" t="s">
        <v>190</v>
      </c>
      <c r="G363" s="5" t="s">
        <v>1231</v>
      </c>
      <c r="H363" s="5" t="s">
        <v>1232</v>
      </c>
    </row>
    <row r="364" customFormat="false" ht="15" hidden="false" customHeight="false" outlineLevel="0" collapsed="false">
      <c r="A364" s="5" t="s">
        <v>1632</v>
      </c>
      <c r="B364" s="5" t="s">
        <v>57</v>
      </c>
      <c r="C364" s="5" t="s">
        <v>503</v>
      </c>
      <c r="D364" s="5" t="s">
        <v>854</v>
      </c>
      <c r="E364" s="5" t="s">
        <v>195</v>
      </c>
      <c r="F364" s="5" t="s">
        <v>161</v>
      </c>
      <c r="G364" s="5" t="s">
        <v>1633</v>
      </c>
      <c r="H364" s="5" t="s">
        <v>1634</v>
      </c>
    </row>
    <row r="365" customFormat="false" ht="15" hidden="false" customHeight="false" outlineLevel="0" collapsed="false">
      <c r="A365" s="5" t="s">
        <v>1635</v>
      </c>
      <c r="B365" s="5" t="s">
        <v>87</v>
      </c>
      <c r="C365" s="5" t="s">
        <v>88</v>
      </c>
      <c r="D365" s="5" t="s">
        <v>1636</v>
      </c>
      <c r="E365" s="5" t="s">
        <v>201</v>
      </c>
      <c r="F365" s="5" t="s">
        <v>161</v>
      </c>
      <c r="G365" s="5" t="s">
        <v>1637</v>
      </c>
      <c r="H365" s="5" t="s">
        <v>1638</v>
      </c>
    </row>
    <row r="366" customFormat="false" ht="15" hidden="false" customHeight="false" outlineLevel="0" collapsed="false">
      <c r="A366" s="5" t="s">
        <v>1639</v>
      </c>
      <c r="B366" s="5" t="s">
        <v>57</v>
      </c>
      <c r="C366" s="5" t="s">
        <v>1640</v>
      </c>
      <c r="D366" s="5" t="s">
        <v>1432</v>
      </c>
      <c r="E366" s="5" t="s">
        <v>201</v>
      </c>
      <c r="F366" s="5" t="s">
        <v>190</v>
      </c>
      <c r="G366" s="5" t="s">
        <v>1641</v>
      </c>
      <c r="H366" s="5" t="s">
        <v>1642</v>
      </c>
    </row>
    <row r="367" customFormat="false" ht="15" hidden="false" customHeight="false" outlineLevel="0" collapsed="false">
      <c r="A367" s="5" t="s">
        <v>1643</v>
      </c>
      <c r="B367" s="5" t="s">
        <v>10</v>
      </c>
      <c r="C367" s="5" t="s">
        <v>373</v>
      </c>
      <c r="D367" s="5" t="s">
        <v>1644</v>
      </c>
      <c r="E367" s="5" t="s">
        <v>182</v>
      </c>
      <c r="F367" s="5" t="s">
        <v>190</v>
      </c>
      <c r="G367" s="5" t="s">
        <v>1645</v>
      </c>
      <c r="H367" s="5" t="s">
        <v>1646</v>
      </c>
    </row>
    <row r="368" customFormat="false" ht="15" hidden="false" customHeight="false" outlineLevel="0" collapsed="false">
      <c r="A368" s="5" t="s">
        <v>1647</v>
      </c>
      <c r="B368" s="5" t="s">
        <v>52</v>
      </c>
      <c r="C368" s="5" t="s">
        <v>53</v>
      </c>
      <c r="D368" s="5" t="s">
        <v>1648</v>
      </c>
      <c r="E368" s="5" t="s">
        <v>182</v>
      </c>
      <c r="F368" s="5"/>
      <c r="G368" s="5" t="s">
        <v>1649</v>
      </c>
      <c r="H368" s="5" t="s">
        <v>1650</v>
      </c>
    </row>
    <row r="369" customFormat="false" ht="15" hidden="false" customHeight="false" outlineLevel="0" collapsed="false">
      <c r="A369" s="5" t="s">
        <v>1651</v>
      </c>
      <c r="B369" s="5" t="s">
        <v>92</v>
      </c>
      <c r="C369" s="5" t="s">
        <v>1601</v>
      </c>
      <c r="D369" s="5" t="s">
        <v>1652</v>
      </c>
      <c r="E369" s="5" t="s">
        <v>154</v>
      </c>
      <c r="F369" s="5" t="s">
        <v>155</v>
      </c>
      <c r="G369" s="5" t="s">
        <v>1653</v>
      </c>
      <c r="H369" s="5" t="s">
        <v>1654</v>
      </c>
    </row>
    <row r="370" customFormat="false" ht="15" hidden="false" customHeight="false" outlineLevel="0" collapsed="false">
      <c r="A370" s="5" t="s">
        <v>1655</v>
      </c>
      <c r="B370" s="5" t="s">
        <v>38</v>
      </c>
      <c r="C370" s="5" t="s">
        <v>39</v>
      </c>
      <c r="D370" s="5" t="s">
        <v>854</v>
      </c>
      <c r="E370" s="5" t="s">
        <v>243</v>
      </c>
      <c r="F370" s="5" t="s">
        <v>190</v>
      </c>
      <c r="G370" s="5" t="s">
        <v>1656</v>
      </c>
      <c r="H370" s="5" t="s">
        <v>1657</v>
      </c>
    </row>
    <row r="371" customFormat="false" ht="15" hidden="false" customHeight="false" outlineLevel="0" collapsed="false">
      <c r="A371" s="5" t="s">
        <v>1658</v>
      </c>
      <c r="B371" s="5" t="s">
        <v>971</v>
      </c>
      <c r="C371" s="5" t="s">
        <v>1659</v>
      </c>
      <c r="D371" s="5" t="s">
        <v>1660</v>
      </c>
      <c r="E371" s="5" t="s">
        <v>147</v>
      </c>
      <c r="F371" s="5" t="s">
        <v>148</v>
      </c>
      <c r="G371" s="5" t="s">
        <v>1661</v>
      </c>
      <c r="H371" s="5" t="s">
        <v>1662</v>
      </c>
    </row>
    <row r="372" customFormat="false" ht="15" hidden="false" customHeight="false" outlineLevel="0" collapsed="false">
      <c r="A372" s="5" t="s">
        <v>1663</v>
      </c>
      <c r="B372" s="5" t="s">
        <v>108</v>
      </c>
      <c r="C372" s="5" t="s">
        <v>972</v>
      </c>
      <c r="D372" s="5" t="s">
        <v>932</v>
      </c>
      <c r="E372" s="5" t="s">
        <v>201</v>
      </c>
      <c r="F372" s="5" t="s">
        <v>155</v>
      </c>
      <c r="G372" s="5" t="s">
        <v>1664</v>
      </c>
      <c r="H372" s="5" t="s">
        <v>1665</v>
      </c>
    </row>
    <row r="373" customFormat="false" ht="15" hidden="false" customHeight="false" outlineLevel="0" collapsed="false">
      <c r="A373" s="5" t="s">
        <v>1666</v>
      </c>
      <c r="B373" s="5" t="s">
        <v>48</v>
      </c>
      <c r="C373" s="5" t="s">
        <v>1489</v>
      </c>
      <c r="D373" s="5" t="s">
        <v>1471</v>
      </c>
      <c r="E373" s="5" t="s">
        <v>189</v>
      </c>
      <c r="F373" s="5" t="s">
        <v>190</v>
      </c>
      <c r="G373" s="5" t="s">
        <v>1667</v>
      </c>
      <c r="H373" s="5" t="s">
        <v>1668</v>
      </c>
    </row>
    <row r="374" customFormat="false" ht="15" hidden="false" customHeight="false" outlineLevel="0" collapsed="false">
      <c r="A374" s="5" t="s">
        <v>1669</v>
      </c>
      <c r="B374" s="5" t="s">
        <v>1593</v>
      </c>
      <c r="C374" s="5" t="s">
        <v>80</v>
      </c>
      <c r="D374" s="5" t="s">
        <v>1670</v>
      </c>
      <c r="E374" s="5" t="s">
        <v>243</v>
      </c>
      <c r="F374" s="5" t="s">
        <v>161</v>
      </c>
      <c r="G374" s="5" t="s">
        <v>1671</v>
      </c>
      <c r="H374" s="5" t="s">
        <v>1672</v>
      </c>
    </row>
    <row r="375" customFormat="false" ht="15" hidden="false" customHeight="false" outlineLevel="0" collapsed="false">
      <c r="A375" s="5" t="s">
        <v>1673</v>
      </c>
      <c r="B375" s="5" t="s">
        <v>90</v>
      </c>
      <c r="C375" s="5" t="s">
        <v>1527</v>
      </c>
      <c r="D375" s="5" t="s">
        <v>1674</v>
      </c>
      <c r="E375" s="5" t="s">
        <v>176</v>
      </c>
      <c r="F375" s="5" t="s">
        <v>155</v>
      </c>
      <c r="G375" s="5" t="s">
        <v>1675</v>
      </c>
      <c r="H375" s="5" t="s">
        <v>1676</v>
      </c>
    </row>
    <row r="376" customFormat="false" ht="15" hidden="false" customHeight="false" outlineLevel="0" collapsed="false">
      <c r="A376" s="5" t="s">
        <v>1677</v>
      </c>
      <c r="B376" s="5" t="s">
        <v>124</v>
      </c>
      <c r="C376" s="5" t="s">
        <v>1286</v>
      </c>
      <c r="D376" s="5" t="s">
        <v>1678</v>
      </c>
      <c r="E376" s="5" t="s">
        <v>195</v>
      </c>
      <c r="F376" s="5" t="s">
        <v>190</v>
      </c>
      <c r="G376" s="5" t="s">
        <v>1679</v>
      </c>
      <c r="H376" s="5" t="s">
        <v>1680</v>
      </c>
    </row>
    <row r="377" customFormat="false" ht="15" hidden="false" customHeight="false" outlineLevel="0" collapsed="false">
      <c r="A377" s="5" t="s">
        <v>1681</v>
      </c>
      <c r="B377" s="5" t="s">
        <v>85</v>
      </c>
      <c r="C377" s="5" t="s">
        <v>300</v>
      </c>
      <c r="D377" s="5" t="s">
        <v>571</v>
      </c>
      <c r="E377" s="5" t="s">
        <v>160</v>
      </c>
      <c r="F377" s="5" t="s">
        <v>148</v>
      </c>
      <c r="G377" s="5" t="s">
        <v>1682</v>
      </c>
      <c r="H377" s="5" t="s">
        <v>1683</v>
      </c>
    </row>
    <row r="378" customFormat="false" ht="15" hidden="false" customHeight="false" outlineLevel="0" collapsed="false">
      <c r="A378" s="5" t="s">
        <v>1684</v>
      </c>
      <c r="B378" s="5" t="s">
        <v>69</v>
      </c>
      <c r="C378" s="5" t="s">
        <v>290</v>
      </c>
      <c r="D378" s="5" t="s">
        <v>1685</v>
      </c>
      <c r="E378" s="5" t="s">
        <v>147</v>
      </c>
      <c r="F378" s="5" t="s">
        <v>155</v>
      </c>
      <c r="G378" s="5" t="s">
        <v>1686</v>
      </c>
      <c r="H378" s="5" t="s">
        <v>1687</v>
      </c>
    </row>
    <row r="379" customFormat="false" ht="15" hidden="false" customHeight="false" outlineLevel="0" collapsed="false">
      <c r="A379" s="5" t="s">
        <v>1688</v>
      </c>
      <c r="B379" s="5" t="s">
        <v>17</v>
      </c>
      <c r="C379" s="5" t="s">
        <v>18</v>
      </c>
      <c r="D379" s="5" t="s">
        <v>1689</v>
      </c>
      <c r="E379" s="5" t="s">
        <v>176</v>
      </c>
      <c r="F379" s="5" t="s">
        <v>161</v>
      </c>
      <c r="G379" s="5" t="s">
        <v>1690</v>
      </c>
      <c r="H379" s="5" t="s">
        <v>1691</v>
      </c>
    </row>
    <row r="380" customFormat="false" ht="15" hidden="false" customHeight="false" outlineLevel="0" collapsed="false">
      <c r="A380" s="5" t="s">
        <v>1692</v>
      </c>
      <c r="B380" s="5" t="s">
        <v>1693</v>
      </c>
      <c r="C380" s="5" t="s">
        <v>1694</v>
      </c>
      <c r="D380" s="5" t="s">
        <v>364</v>
      </c>
      <c r="E380" s="5" t="s">
        <v>182</v>
      </c>
      <c r="F380" s="5" t="s">
        <v>183</v>
      </c>
      <c r="G380" s="5" t="s">
        <v>1695</v>
      </c>
      <c r="H380" s="5" t="s">
        <v>1696</v>
      </c>
    </row>
    <row r="381" customFormat="false" ht="15" hidden="false" customHeight="false" outlineLevel="0" collapsed="false">
      <c r="A381" s="5" t="s">
        <v>1697</v>
      </c>
      <c r="B381" s="5" t="s">
        <v>116</v>
      </c>
      <c r="C381" s="5" t="s">
        <v>117</v>
      </c>
      <c r="D381" s="5" t="s">
        <v>1622</v>
      </c>
      <c r="E381" s="5" t="s">
        <v>154</v>
      </c>
      <c r="F381" s="5" t="s">
        <v>161</v>
      </c>
      <c r="G381" s="5" t="s">
        <v>1698</v>
      </c>
      <c r="H381" s="5" t="s">
        <v>1699</v>
      </c>
    </row>
    <row r="382" customFormat="false" ht="15" hidden="false" customHeight="false" outlineLevel="0" collapsed="false">
      <c r="A382" s="5" t="s">
        <v>1700</v>
      </c>
      <c r="B382" s="5" t="s">
        <v>100</v>
      </c>
      <c r="C382" s="5" t="s">
        <v>101</v>
      </c>
      <c r="D382" s="5" t="s">
        <v>1701</v>
      </c>
      <c r="E382" s="5" t="s">
        <v>201</v>
      </c>
      <c r="F382" s="5" t="s">
        <v>190</v>
      </c>
      <c r="G382" s="5" t="s">
        <v>1702</v>
      </c>
      <c r="H382" s="5" t="s">
        <v>1703</v>
      </c>
    </row>
    <row r="383" customFormat="false" ht="15" hidden="false" customHeight="false" outlineLevel="0" collapsed="false">
      <c r="A383" s="5" t="s">
        <v>1704</v>
      </c>
      <c r="B383" s="5" t="s">
        <v>55</v>
      </c>
      <c r="C383" s="5" t="s">
        <v>56</v>
      </c>
      <c r="D383" s="5" t="s">
        <v>476</v>
      </c>
      <c r="E383" s="5" t="s">
        <v>147</v>
      </c>
      <c r="F383" s="5" t="s">
        <v>161</v>
      </c>
      <c r="G383" s="5" t="s">
        <v>1705</v>
      </c>
      <c r="H383" s="5" t="s">
        <v>1706</v>
      </c>
    </row>
    <row r="384" customFormat="false" ht="15" hidden="false" customHeight="false" outlineLevel="0" collapsed="false">
      <c r="A384" s="5" t="s">
        <v>1707</v>
      </c>
      <c r="B384" s="5" t="s">
        <v>75</v>
      </c>
      <c r="C384" s="5" t="s">
        <v>76</v>
      </c>
      <c r="D384" s="5" t="s">
        <v>1597</v>
      </c>
      <c r="E384" s="5" t="s">
        <v>160</v>
      </c>
      <c r="F384" s="5" t="s">
        <v>190</v>
      </c>
      <c r="G384" s="5" t="s">
        <v>1708</v>
      </c>
      <c r="H384" s="5" t="s">
        <v>1709</v>
      </c>
    </row>
    <row r="385" customFormat="false" ht="15" hidden="false" customHeight="false" outlineLevel="0" collapsed="false">
      <c r="A385" s="5" t="s">
        <v>1710</v>
      </c>
      <c r="B385" s="5" t="s">
        <v>129</v>
      </c>
      <c r="C385" s="5" t="s">
        <v>130</v>
      </c>
      <c r="D385" s="5" t="s">
        <v>1711</v>
      </c>
      <c r="E385" s="5" t="s">
        <v>201</v>
      </c>
      <c r="F385" s="5" t="s">
        <v>161</v>
      </c>
      <c r="G385" s="5" t="s">
        <v>1712</v>
      </c>
      <c r="H385" s="5" t="s">
        <v>1713</v>
      </c>
    </row>
    <row r="386" customFormat="false" ht="15" hidden="false" customHeight="false" outlineLevel="0" collapsed="false">
      <c r="A386" s="5" t="s">
        <v>1714</v>
      </c>
      <c r="B386" s="5" t="s">
        <v>92</v>
      </c>
      <c r="C386" s="5" t="s">
        <v>93</v>
      </c>
      <c r="D386" s="5" t="s">
        <v>1715</v>
      </c>
      <c r="E386" s="5" t="s">
        <v>201</v>
      </c>
      <c r="F386" s="5" t="s">
        <v>190</v>
      </c>
      <c r="G386" s="5" t="s">
        <v>1716</v>
      </c>
      <c r="H386" s="5" t="s">
        <v>1717</v>
      </c>
    </row>
    <row r="387" customFormat="false" ht="15" hidden="false" customHeight="false" outlineLevel="0" collapsed="false">
      <c r="A387" s="5" t="s">
        <v>1718</v>
      </c>
      <c r="B387" s="5" t="s">
        <v>59</v>
      </c>
      <c r="C387" s="5" t="s">
        <v>199</v>
      </c>
      <c r="D387" s="5" t="s">
        <v>1369</v>
      </c>
      <c r="E387" s="5" t="s">
        <v>243</v>
      </c>
      <c r="F387" s="5" t="s">
        <v>190</v>
      </c>
      <c r="G387" s="5" t="s">
        <v>1719</v>
      </c>
      <c r="H387" s="5" t="s">
        <v>1720</v>
      </c>
    </row>
    <row r="388" customFormat="false" ht="15" hidden="false" customHeight="false" outlineLevel="0" collapsed="false">
      <c r="A388" s="5" t="s">
        <v>1721</v>
      </c>
      <c r="B388" s="5" t="s">
        <v>26</v>
      </c>
      <c r="C388" s="5" t="s">
        <v>27</v>
      </c>
      <c r="D388" s="5" t="s">
        <v>1722</v>
      </c>
      <c r="E388" s="5" t="s">
        <v>189</v>
      </c>
      <c r="F388" s="5" t="s">
        <v>161</v>
      </c>
      <c r="G388" s="5" t="s">
        <v>1723</v>
      </c>
      <c r="H388" s="5" t="s">
        <v>1724</v>
      </c>
    </row>
    <row r="389" customFormat="false" ht="15" hidden="false" customHeight="false" outlineLevel="0" collapsed="false">
      <c r="A389" s="5" t="s">
        <v>1725</v>
      </c>
      <c r="B389" s="5" t="s">
        <v>127</v>
      </c>
      <c r="C389" s="5" t="s">
        <v>803</v>
      </c>
      <c r="D389" s="5" t="s">
        <v>1045</v>
      </c>
      <c r="E389" s="5" t="s">
        <v>171</v>
      </c>
      <c r="F389" s="5" t="s">
        <v>161</v>
      </c>
      <c r="G389" s="5" t="s">
        <v>1726</v>
      </c>
      <c r="H389" s="5" t="s">
        <v>1727</v>
      </c>
    </row>
    <row r="390" customFormat="false" ht="15" hidden="false" customHeight="false" outlineLevel="0" collapsed="false">
      <c r="A390" s="5" t="s">
        <v>1728</v>
      </c>
      <c r="B390" s="5" t="s">
        <v>129</v>
      </c>
      <c r="C390" s="5" t="s">
        <v>130</v>
      </c>
      <c r="D390" s="5" t="s">
        <v>175</v>
      </c>
      <c r="E390" s="5" t="s">
        <v>160</v>
      </c>
      <c r="F390" s="5" t="s">
        <v>190</v>
      </c>
      <c r="G390" s="5" t="s">
        <v>1729</v>
      </c>
      <c r="H390" s="5" t="s">
        <v>1730</v>
      </c>
    </row>
    <row r="391" customFormat="false" ht="15" hidden="false" customHeight="false" outlineLevel="0" collapsed="false">
      <c r="A391" s="5" t="s">
        <v>1731</v>
      </c>
      <c r="B391" s="5" t="s">
        <v>102</v>
      </c>
      <c r="C391" s="5" t="s">
        <v>103</v>
      </c>
      <c r="D391" s="5" t="s">
        <v>1674</v>
      </c>
      <c r="E391" s="5" t="s">
        <v>171</v>
      </c>
      <c r="F391" s="5" t="s">
        <v>148</v>
      </c>
      <c r="G391" s="5" t="s">
        <v>1732</v>
      </c>
      <c r="H391" s="5" t="s">
        <v>1733</v>
      </c>
    </row>
    <row r="392" customFormat="false" ht="15" hidden="false" customHeight="false" outlineLevel="0" collapsed="false">
      <c r="A392" s="5" t="s">
        <v>1734</v>
      </c>
      <c r="B392" s="5" t="s">
        <v>50</v>
      </c>
      <c r="C392" s="5" t="s">
        <v>1735</v>
      </c>
      <c r="D392" s="5" t="s">
        <v>1736</v>
      </c>
      <c r="E392" s="5" t="s">
        <v>154</v>
      </c>
      <c r="F392" s="5" t="s">
        <v>183</v>
      </c>
      <c r="G392" s="5" t="s">
        <v>1737</v>
      </c>
      <c r="H392" s="5" t="s">
        <v>1738</v>
      </c>
    </row>
    <row r="393" customFormat="false" ht="15" hidden="false" customHeight="false" outlineLevel="0" collapsed="false">
      <c r="A393" s="5" t="s">
        <v>1739</v>
      </c>
      <c r="B393" s="5" t="s">
        <v>50</v>
      </c>
      <c r="C393" s="5" t="s">
        <v>247</v>
      </c>
      <c r="D393" s="5" t="s">
        <v>1740</v>
      </c>
      <c r="E393" s="5" t="s">
        <v>189</v>
      </c>
      <c r="F393" s="5" t="s">
        <v>155</v>
      </c>
      <c r="G393" s="5" t="s">
        <v>1741</v>
      </c>
      <c r="H393" s="5" t="s">
        <v>1742</v>
      </c>
    </row>
    <row r="394" customFormat="false" ht="15" hidden="false" customHeight="false" outlineLevel="0" collapsed="false">
      <c r="A394" s="5" t="s">
        <v>158</v>
      </c>
      <c r="B394" s="5" t="s">
        <v>98</v>
      </c>
      <c r="C394" s="5" t="s">
        <v>99</v>
      </c>
      <c r="D394" s="5" t="s">
        <v>159</v>
      </c>
      <c r="E394" s="5" t="s">
        <v>160</v>
      </c>
      <c r="F394" s="5" t="s">
        <v>161</v>
      </c>
      <c r="G394" s="5" t="s">
        <v>162</v>
      </c>
      <c r="H394" s="5" t="s">
        <v>163</v>
      </c>
    </row>
    <row r="395" customFormat="false" ht="15" hidden="false" customHeight="false" outlineLevel="0" collapsed="false">
      <c r="A395" s="5" t="s">
        <v>1743</v>
      </c>
      <c r="B395" s="5" t="s">
        <v>20</v>
      </c>
      <c r="C395" s="5" t="s">
        <v>702</v>
      </c>
      <c r="D395" s="5" t="s">
        <v>1744</v>
      </c>
      <c r="E395" s="5" t="s">
        <v>154</v>
      </c>
      <c r="F395" s="5" t="s">
        <v>183</v>
      </c>
      <c r="G395" s="5" t="s">
        <v>1745</v>
      </c>
      <c r="H395" s="5" t="s">
        <v>1746</v>
      </c>
    </row>
    <row r="396" customFormat="false" ht="15" hidden="false" customHeight="false" outlineLevel="0" collapsed="false">
      <c r="A396" s="5" t="s">
        <v>1747</v>
      </c>
      <c r="B396" s="5" t="s">
        <v>34</v>
      </c>
      <c r="C396" s="5" t="s">
        <v>35</v>
      </c>
      <c r="D396" s="5" t="s">
        <v>1149</v>
      </c>
      <c r="E396" s="5" t="s">
        <v>147</v>
      </c>
      <c r="F396" s="5" t="s">
        <v>183</v>
      </c>
      <c r="G396" s="5" t="s">
        <v>1748</v>
      </c>
      <c r="H396" s="5" t="s">
        <v>1749</v>
      </c>
    </row>
    <row r="397" customFormat="false" ht="15" hidden="false" customHeight="false" outlineLevel="0" collapsed="false">
      <c r="A397" s="5" t="s">
        <v>1750</v>
      </c>
      <c r="B397" s="5" t="s">
        <v>1751</v>
      </c>
      <c r="C397" s="5" t="s">
        <v>56</v>
      </c>
      <c r="D397" s="5" t="s">
        <v>419</v>
      </c>
      <c r="E397" s="5" t="s">
        <v>201</v>
      </c>
      <c r="F397" s="5" t="s">
        <v>148</v>
      </c>
      <c r="G397" s="5" t="s">
        <v>1752</v>
      </c>
      <c r="H397" s="5" t="s">
        <v>1753</v>
      </c>
    </row>
    <row r="398" customFormat="false" ht="15" hidden="false" customHeight="false" outlineLevel="0" collapsed="false">
      <c r="A398" s="5" t="s">
        <v>1754</v>
      </c>
      <c r="B398" s="5" t="s">
        <v>10</v>
      </c>
      <c r="C398" s="5" t="s">
        <v>11</v>
      </c>
      <c r="D398" s="5" t="s">
        <v>1652</v>
      </c>
      <c r="E398" s="5" t="s">
        <v>176</v>
      </c>
      <c r="F398" s="5" t="s">
        <v>190</v>
      </c>
      <c r="G398" s="5" t="s">
        <v>1755</v>
      </c>
      <c r="H398" s="5" t="s">
        <v>1756</v>
      </c>
    </row>
    <row r="399" customFormat="false" ht="15" hidden="false" customHeight="false" outlineLevel="0" collapsed="false">
      <c r="A399" s="5" t="s">
        <v>1500</v>
      </c>
      <c r="B399" s="5" t="s">
        <v>106</v>
      </c>
      <c r="C399" s="5" t="s">
        <v>105</v>
      </c>
      <c r="D399" s="5" t="s">
        <v>737</v>
      </c>
      <c r="E399" s="5" t="s">
        <v>171</v>
      </c>
      <c r="F399" s="5" t="s">
        <v>148</v>
      </c>
      <c r="G399" s="5" t="s">
        <v>1501</v>
      </c>
      <c r="H399" s="5" t="s">
        <v>1502</v>
      </c>
    </row>
    <row r="400" customFormat="false" ht="15" hidden="false" customHeight="false" outlineLevel="0" collapsed="false">
      <c r="A400" s="5" t="s">
        <v>1757</v>
      </c>
      <c r="B400" s="5" t="s">
        <v>1758</v>
      </c>
      <c r="C400" s="5" t="s">
        <v>1759</v>
      </c>
      <c r="D400" s="5" t="s">
        <v>1760</v>
      </c>
      <c r="E400" s="5" t="s">
        <v>176</v>
      </c>
      <c r="F400" s="5" t="s">
        <v>190</v>
      </c>
      <c r="G400" s="5" t="s">
        <v>1761</v>
      </c>
      <c r="H400" s="5" t="s">
        <v>1762</v>
      </c>
    </row>
    <row r="401" customFormat="false" ht="15" hidden="false" customHeight="false" outlineLevel="0" collapsed="false">
      <c r="A401" s="5" t="s">
        <v>1763</v>
      </c>
      <c r="B401" s="5" t="s">
        <v>116</v>
      </c>
      <c r="C401" s="5" t="s">
        <v>1764</v>
      </c>
      <c r="D401" s="5" t="s">
        <v>1765</v>
      </c>
      <c r="E401" s="5" t="s">
        <v>182</v>
      </c>
      <c r="F401" s="5" t="s">
        <v>190</v>
      </c>
      <c r="G401" s="5" t="s">
        <v>1766</v>
      </c>
      <c r="H401" s="5" t="s">
        <v>1767</v>
      </c>
    </row>
    <row r="402" customFormat="false" ht="15" hidden="false" customHeight="false" outlineLevel="0" collapsed="false">
      <c r="A402" s="5" t="s">
        <v>1768</v>
      </c>
      <c r="B402" s="5" t="s">
        <v>120</v>
      </c>
      <c r="C402" s="5" t="s">
        <v>121</v>
      </c>
      <c r="D402" s="5" t="s">
        <v>675</v>
      </c>
      <c r="E402" s="5" t="s">
        <v>195</v>
      </c>
      <c r="F402" s="5" t="s">
        <v>183</v>
      </c>
      <c r="G402" s="5" t="s">
        <v>1769</v>
      </c>
      <c r="H402" s="5" t="s">
        <v>1770</v>
      </c>
    </row>
    <row r="403" customFormat="false" ht="15" hidden="false" customHeight="false" outlineLevel="0" collapsed="false">
      <c r="A403" s="5" t="s">
        <v>1771</v>
      </c>
      <c r="B403" s="5" t="s">
        <v>1772</v>
      </c>
      <c r="C403" s="5" t="s">
        <v>744</v>
      </c>
      <c r="D403" s="5" t="s">
        <v>1773</v>
      </c>
      <c r="E403" s="5" t="s">
        <v>201</v>
      </c>
      <c r="F403" s="5" t="s">
        <v>148</v>
      </c>
      <c r="G403" s="5" t="s">
        <v>1774</v>
      </c>
      <c r="H403" s="5" t="s">
        <v>1775</v>
      </c>
    </row>
    <row r="404" customFormat="false" ht="15" hidden="false" customHeight="false" outlineLevel="0" collapsed="false">
      <c r="A404" s="5" t="s">
        <v>1776</v>
      </c>
      <c r="B404" s="5" t="s">
        <v>73</v>
      </c>
      <c r="C404" s="5" t="s">
        <v>74</v>
      </c>
      <c r="D404" s="5" t="s">
        <v>1777</v>
      </c>
      <c r="E404" s="5" t="s">
        <v>171</v>
      </c>
      <c r="F404" s="5" t="s">
        <v>161</v>
      </c>
      <c r="G404" s="5" t="s">
        <v>1778</v>
      </c>
      <c r="H404" s="5" t="s">
        <v>1779</v>
      </c>
    </row>
    <row r="405" customFormat="false" ht="15" hidden="false" customHeight="false" outlineLevel="0" collapsed="false">
      <c r="A405" s="5" t="s">
        <v>1780</v>
      </c>
      <c r="B405" s="5" t="s">
        <v>14</v>
      </c>
      <c r="C405" s="5" t="s">
        <v>732</v>
      </c>
      <c r="D405" s="5" t="s">
        <v>1328</v>
      </c>
      <c r="E405" s="5" t="s">
        <v>171</v>
      </c>
      <c r="F405" s="5" t="s">
        <v>183</v>
      </c>
      <c r="G405" s="5" t="s">
        <v>1781</v>
      </c>
      <c r="H405" s="5" t="s">
        <v>1782</v>
      </c>
    </row>
    <row r="406" customFormat="false" ht="15" hidden="false" customHeight="false" outlineLevel="0" collapsed="false">
      <c r="A406" s="5" t="s">
        <v>1783</v>
      </c>
      <c r="B406" s="5" t="s">
        <v>85</v>
      </c>
      <c r="C406" s="5" t="s">
        <v>86</v>
      </c>
      <c r="D406" s="5" t="s">
        <v>1784</v>
      </c>
      <c r="E406" s="5" t="s">
        <v>195</v>
      </c>
      <c r="F406" s="5" t="s">
        <v>190</v>
      </c>
      <c r="G406" s="5" t="s">
        <v>1785</v>
      </c>
      <c r="H406" s="5" t="s">
        <v>1786</v>
      </c>
    </row>
    <row r="407" customFormat="false" ht="15" hidden="false" customHeight="false" outlineLevel="0" collapsed="false">
      <c r="A407" s="5" t="s">
        <v>1417</v>
      </c>
      <c r="B407" s="5" t="s">
        <v>46</v>
      </c>
      <c r="C407" s="5" t="s">
        <v>1378</v>
      </c>
      <c r="D407" s="5" t="s">
        <v>432</v>
      </c>
      <c r="E407" s="5" t="s">
        <v>195</v>
      </c>
      <c r="F407" s="5" t="s">
        <v>148</v>
      </c>
      <c r="G407" s="5" t="s">
        <v>1418</v>
      </c>
      <c r="H407" s="5" t="s">
        <v>1419</v>
      </c>
    </row>
    <row r="408" customFormat="false" ht="15" hidden="false" customHeight="false" outlineLevel="0" collapsed="false">
      <c r="A408" s="5" t="s">
        <v>895</v>
      </c>
      <c r="B408" s="5" t="s">
        <v>896</v>
      </c>
      <c r="C408" s="5" t="s">
        <v>485</v>
      </c>
      <c r="D408" s="5" t="s">
        <v>897</v>
      </c>
      <c r="E408" s="5" t="s">
        <v>154</v>
      </c>
      <c r="F408" s="5" t="s">
        <v>183</v>
      </c>
      <c r="G408" s="5" t="s">
        <v>898</v>
      </c>
      <c r="H408" s="5" t="s">
        <v>899</v>
      </c>
    </row>
    <row r="409" customFormat="false" ht="15" hidden="false" customHeight="false" outlineLevel="0" collapsed="false">
      <c r="A409" s="5" t="s">
        <v>1787</v>
      </c>
      <c r="B409" s="5" t="s">
        <v>1788</v>
      </c>
      <c r="C409" s="5" t="s">
        <v>1789</v>
      </c>
      <c r="D409" s="5" t="s">
        <v>1790</v>
      </c>
      <c r="E409" s="5" t="s">
        <v>154</v>
      </c>
      <c r="F409" s="5" t="s">
        <v>155</v>
      </c>
      <c r="G409" s="5" t="s">
        <v>1791</v>
      </c>
      <c r="H409" s="5" t="s">
        <v>1792</v>
      </c>
    </row>
    <row r="410" customFormat="false" ht="15" hidden="false" customHeight="false" outlineLevel="0" collapsed="false">
      <c r="A410" s="5" t="s">
        <v>1793</v>
      </c>
      <c r="B410" s="5" t="s">
        <v>61</v>
      </c>
      <c r="C410" s="5" t="s">
        <v>62</v>
      </c>
      <c r="D410" s="5" t="s">
        <v>471</v>
      </c>
      <c r="E410" s="5" t="s">
        <v>176</v>
      </c>
      <c r="F410" s="5" t="s">
        <v>161</v>
      </c>
      <c r="G410" s="5" t="s">
        <v>1794</v>
      </c>
      <c r="H410" s="5" t="s">
        <v>1795</v>
      </c>
    </row>
    <row r="411" customFormat="false" ht="15" hidden="false" customHeight="false" outlineLevel="0" collapsed="false">
      <c r="A411" s="5" t="s">
        <v>1796</v>
      </c>
      <c r="B411" s="5" t="s">
        <v>114</v>
      </c>
      <c r="C411" s="5" t="s">
        <v>115</v>
      </c>
      <c r="D411" s="5" t="s">
        <v>1797</v>
      </c>
      <c r="E411" s="5" t="s">
        <v>160</v>
      </c>
      <c r="F411" s="5" t="s">
        <v>161</v>
      </c>
      <c r="G411" s="5" t="s">
        <v>1798</v>
      </c>
      <c r="H411" s="5" t="s">
        <v>1799</v>
      </c>
    </row>
    <row r="412" customFormat="false" ht="15" hidden="false" customHeight="false" outlineLevel="0" collapsed="false">
      <c r="A412" s="5" t="s">
        <v>1800</v>
      </c>
      <c r="B412" s="5" t="s">
        <v>118</v>
      </c>
      <c r="C412" s="5" t="s">
        <v>267</v>
      </c>
      <c r="D412" s="5" t="s">
        <v>1801</v>
      </c>
      <c r="E412" s="5" t="s">
        <v>243</v>
      </c>
      <c r="F412" s="5" t="s">
        <v>161</v>
      </c>
      <c r="G412" s="5" t="s">
        <v>1802</v>
      </c>
      <c r="H412" s="5" t="s">
        <v>1803</v>
      </c>
    </row>
    <row r="413" customFormat="false" ht="15" hidden="false" customHeight="false" outlineLevel="0" collapsed="false">
      <c r="A413" s="5" t="s">
        <v>1804</v>
      </c>
      <c r="B413" s="5" t="s">
        <v>1805</v>
      </c>
      <c r="C413" s="5" t="s">
        <v>64</v>
      </c>
      <c r="D413" s="5" t="s">
        <v>1806</v>
      </c>
      <c r="E413" s="5" t="s">
        <v>176</v>
      </c>
      <c r="F413" s="5" t="s">
        <v>161</v>
      </c>
      <c r="G413" s="5" t="s">
        <v>1807</v>
      </c>
      <c r="H413" s="5" t="s">
        <v>1808</v>
      </c>
    </row>
    <row r="414" customFormat="false" ht="15" hidden="false" customHeight="false" outlineLevel="0" collapsed="false">
      <c r="A414" s="5" t="s">
        <v>1809</v>
      </c>
      <c r="B414" s="5" t="s">
        <v>102</v>
      </c>
      <c r="C414" s="5" t="s">
        <v>233</v>
      </c>
      <c r="D414" s="5" t="s">
        <v>1810</v>
      </c>
      <c r="E414" s="5" t="s">
        <v>182</v>
      </c>
      <c r="F414" s="5" t="s">
        <v>161</v>
      </c>
      <c r="G414" s="5" t="s">
        <v>1811</v>
      </c>
      <c r="H414" s="5" t="s">
        <v>1812</v>
      </c>
    </row>
    <row r="415" customFormat="false" ht="15" hidden="false" customHeight="false" outlineLevel="0" collapsed="false">
      <c r="A415" s="5" t="s">
        <v>1813</v>
      </c>
      <c r="B415" s="5" t="s">
        <v>61</v>
      </c>
      <c r="C415" s="5" t="s">
        <v>62</v>
      </c>
      <c r="D415" s="5" t="s">
        <v>326</v>
      </c>
      <c r="E415" s="5" t="s">
        <v>176</v>
      </c>
      <c r="F415" s="5" t="s">
        <v>183</v>
      </c>
      <c r="G415" s="5" t="s">
        <v>1814</v>
      </c>
      <c r="H415" s="5" t="s">
        <v>1815</v>
      </c>
    </row>
    <row r="416" customFormat="false" ht="15" hidden="false" customHeight="false" outlineLevel="0" collapsed="false">
      <c r="A416" s="5" t="s">
        <v>1816</v>
      </c>
      <c r="B416" s="5" t="s">
        <v>1817</v>
      </c>
      <c r="C416" s="5" t="s">
        <v>1267</v>
      </c>
      <c r="D416" s="5" t="s">
        <v>1141</v>
      </c>
      <c r="E416" s="5" t="s">
        <v>160</v>
      </c>
      <c r="F416" s="5" t="s">
        <v>155</v>
      </c>
      <c r="G416" s="5" t="s">
        <v>1818</v>
      </c>
      <c r="H416" s="5" t="s">
        <v>1819</v>
      </c>
    </row>
    <row r="417" customFormat="false" ht="15" hidden="false" customHeight="false" outlineLevel="0" collapsed="false">
      <c r="A417" s="5" t="s">
        <v>1820</v>
      </c>
      <c r="B417" s="5" t="s">
        <v>73</v>
      </c>
      <c r="C417" s="5" t="s">
        <v>74</v>
      </c>
      <c r="D417" s="5" t="s">
        <v>1821</v>
      </c>
      <c r="E417" s="5" t="s">
        <v>147</v>
      </c>
      <c r="F417" s="5" t="s">
        <v>155</v>
      </c>
      <c r="G417" s="5" t="s">
        <v>1822</v>
      </c>
      <c r="H417" s="5" t="s">
        <v>1823</v>
      </c>
    </row>
    <row r="418" customFormat="false" ht="15" hidden="false" customHeight="false" outlineLevel="0" collapsed="false">
      <c r="A418" s="5" t="s">
        <v>1824</v>
      </c>
      <c r="B418" s="5" t="s">
        <v>63</v>
      </c>
      <c r="C418" s="5" t="s">
        <v>914</v>
      </c>
      <c r="D418" s="5" t="s">
        <v>1825</v>
      </c>
      <c r="E418" s="5" t="s">
        <v>195</v>
      </c>
      <c r="F418" s="5" t="s">
        <v>190</v>
      </c>
      <c r="G418" s="5" t="s">
        <v>1826</v>
      </c>
      <c r="H418" s="5" t="s">
        <v>1827</v>
      </c>
    </row>
    <row r="419" customFormat="false" ht="15" hidden="false" customHeight="false" outlineLevel="0" collapsed="false">
      <c r="A419" s="5" t="s">
        <v>1828</v>
      </c>
      <c r="B419" s="5" t="s">
        <v>122</v>
      </c>
      <c r="C419" s="5" t="s">
        <v>123</v>
      </c>
      <c r="D419" s="5" t="s">
        <v>1829</v>
      </c>
      <c r="E419" s="5" t="s">
        <v>147</v>
      </c>
      <c r="F419" s="5" t="s">
        <v>148</v>
      </c>
      <c r="G419" s="5" t="s">
        <v>1830</v>
      </c>
      <c r="H419" s="5" t="s">
        <v>1831</v>
      </c>
    </row>
    <row r="420" customFormat="false" ht="15" hidden="false" customHeight="false" outlineLevel="0" collapsed="false">
      <c r="A420" s="5" t="s">
        <v>1236</v>
      </c>
      <c r="B420" s="5" t="s">
        <v>10</v>
      </c>
      <c r="C420" s="5" t="s">
        <v>11</v>
      </c>
      <c r="D420" s="5" t="s">
        <v>291</v>
      </c>
      <c r="E420" s="5" t="s">
        <v>176</v>
      </c>
      <c r="F420" s="5" t="s">
        <v>183</v>
      </c>
      <c r="G420" s="5" t="s">
        <v>1237</v>
      </c>
      <c r="H420" s="5" t="s">
        <v>1238</v>
      </c>
    </row>
    <row r="421" customFormat="false" ht="15" hidden="false" customHeight="false" outlineLevel="0" collapsed="false">
      <c r="A421" s="5" t="s">
        <v>1832</v>
      </c>
      <c r="B421" s="5" t="s">
        <v>85</v>
      </c>
      <c r="C421" s="5" t="s">
        <v>86</v>
      </c>
      <c r="D421" s="5" t="s">
        <v>1833</v>
      </c>
      <c r="E421" s="5" t="s">
        <v>201</v>
      </c>
      <c r="F421" s="5" t="s">
        <v>161</v>
      </c>
      <c r="G421" s="5" t="s">
        <v>1834</v>
      </c>
      <c r="H421" s="5" t="s">
        <v>1835</v>
      </c>
    </row>
    <row r="422" customFormat="false" ht="15" hidden="false" customHeight="false" outlineLevel="0" collapsed="false">
      <c r="A422" s="5" t="s">
        <v>1836</v>
      </c>
      <c r="B422" s="5" t="s">
        <v>112</v>
      </c>
      <c r="C422" s="5" t="s">
        <v>1411</v>
      </c>
      <c r="D422" s="5" t="s">
        <v>1403</v>
      </c>
      <c r="E422" s="5" t="s">
        <v>195</v>
      </c>
      <c r="F422" s="5" t="s">
        <v>148</v>
      </c>
      <c r="G422" s="5" t="s">
        <v>1837</v>
      </c>
      <c r="H422" s="5" t="s">
        <v>1838</v>
      </c>
    </row>
    <row r="423" customFormat="false" ht="15" hidden="false" customHeight="false" outlineLevel="0" collapsed="false">
      <c r="A423" s="5" t="s">
        <v>1839</v>
      </c>
      <c r="B423" s="5" t="s">
        <v>87</v>
      </c>
      <c r="C423" s="5" t="s">
        <v>262</v>
      </c>
      <c r="D423" s="5" t="s">
        <v>432</v>
      </c>
      <c r="E423" s="5" t="s">
        <v>154</v>
      </c>
      <c r="F423" s="5" t="s">
        <v>155</v>
      </c>
      <c r="G423" s="5" t="s">
        <v>1840</v>
      </c>
      <c r="H423" s="5" t="s">
        <v>1841</v>
      </c>
    </row>
    <row r="424" customFormat="false" ht="15" hidden="false" customHeight="false" outlineLevel="0" collapsed="false">
      <c r="A424" s="5" t="s">
        <v>1842</v>
      </c>
      <c r="B424" s="5" t="s">
        <v>87</v>
      </c>
      <c r="C424" s="5" t="s">
        <v>262</v>
      </c>
      <c r="D424" s="5" t="s">
        <v>1843</v>
      </c>
      <c r="E424" s="5" t="s">
        <v>171</v>
      </c>
      <c r="F424" s="5" t="s">
        <v>183</v>
      </c>
      <c r="G424" s="5" t="s">
        <v>1844</v>
      </c>
      <c r="H424" s="5" t="s">
        <v>1845</v>
      </c>
    </row>
    <row r="425" customFormat="false" ht="15" hidden="false" customHeight="false" outlineLevel="0" collapsed="false">
      <c r="A425" s="5" t="s">
        <v>1846</v>
      </c>
      <c r="B425" s="5" t="s">
        <v>108</v>
      </c>
      <c r="C425" s="5" t="s">
        <v>109</v>
      </c>
      <c r="D425" s="5" t="s">
        <v>1847</v>
      </c>
      <c r="E425" s="5" t="s">
        <v>171</v>
      </c>
      <c r="F425" s="5" t="s">
        <v>183</v>
      </c>
      <c r="G425" s="5" t="s">
        <v>1848</v>
      </c>
      <c r="H425" s="5" t="s">
        <v>1849</v>
      </c>
    </row>
    <row r="426" customFormat="false" ht="15" hidden="false" customHeight="false" outlineLevel="0" collapsed="false">
      <c r="A426" s="5" t="s">
        <v>824</v>
      </c>
      <c r="B426" s="5" t="s">
        <v>14</v>
      </c>
      <c r="C426" s="5" t="s">
        <v>15</v>
      </c>
      <c r="D426" s="5" t="s">
        <v>825</v>
      </c>
      <c r="E426" s="5" t="s">
        <v>160</v>
      </c>
      <c r="F426" s="5" t="s">
        <v>161</v>
      </c>
      <c r="G426" s="5" t="s">
        <v>826</v>
      </c>
      <c r="H426" s="5" t="s">
        <v>827</v>
      </c>
    </row>
    <row r="427" customFormat="false" ht="15" hidden="false" customHeight="false" outlineLevel="0" collapsed="false">
      <c r="A427" s="5" t="s">
        <v>1850</v>
      </c>
      <c r="B427" s="5" t="s">
        <v>65</v>
      </c>
      <c r="C427" s="5" t="s">
        <v>66</v>
      </c>
      <c r="D427" s="5" t="s">
        <v>829</v>
      </c>
      <c r="E427" s="5" t="s">
        <v>154</v>
      </c>
      <c r="F427" s="5" t="s">
        <v>190</v>
      </c>
      <c r="G427" s="5" t="s">
        <v>1851</v>
      </c>
      <c r="H427" s="5" t="s">
        <v>1852</v>
      </c>
    </row>
    <row r="428" customFormat="false" ht="15" hidden="false" customHeight="false" outlineLevel="0" collapsed="false">
      <c r="A428" s="5" t="s">
        <v>1853</v>
      </c>
      <c r="B428" s="5" t="s">
        <v>55</v>
      </c>
      <c r="C428" s="5" t="s">
        <v>1431</v>
      </c>
      <c r="D428" s="5" t="s">
        <v>471</v>
      </c>
      <c r="E428" s="5" t="s">
        <v>160</v>
      </c>
      <c r="F428" s="5" t="s">
        <v>161</v>
      </c>
      <c r="G428" s="5" t="s">
        <v>1854</v>
      </c>
      <c r="H428" s="5" t="s">
        <v>1855</v>
      </c>
    </row>
    <row r="429" customFormat="false" ht="15" hidden="false" customHeight="false" outlineLevel="0" collapsed="false">
      <c r="A429" s="5" t="s">
        <v>1856</v>
      </c>
      <c r="B429" s="5" t="s">
        <v>28</v>
      </c>
      <c r="C429" s="5" t="s">
        <v>716</v>
      </c>
      <c r="D429" s="5" t="s">
        <v>737</v>
      </c>
      <c r="E429" s="5" t="s">
        <v>182</v>
      </c>
      <c r="F429" s="5" t="s">
        <v>155</v>
      </c>
      <c r="G429" s="5" t="s">
        <v>1857</v>
      </c>
      <c r="H429" s="5" t="s">
        <v>1858</v>
      </c>
    </row>
    <row r="430" customFormat="false" ht="15" hidden="false" customHeight="false" outlineLevel="0" collapsed="false">
      <c r="A430" s="5" t="s">
        <v>1859</v>
      </c>
      <c r="B430" s="5" t="s">
        <v>14</v>
      </c>
      <c r="C430" s="5" t="s">
        <v>15</v>
      </c>
      <c r="D430" s="5" t="s">
        <v>1860</v>
      </c>
      <c r="E430" s="5" t="s">
        <v>189</v>
      </c>
      <c r="F430" s="5" t="s">
        <v>161</v>
      </c>
      <c r="G430" s="5" t="s">
        <v>1861</v>
      </c>
      <c r="H430" s="5" t="s">
        <v>1862</v>
      </c>
    </row>
    <row r="431" customFormat="false" ht="15" hidden="false" customHeight="false" outlineLevel="0" collapsed="false">
      <c r="A431" s="5" t="s">
        <v>1863</v>
      </c>
      <c r="B431" s="5" t="s">
        <v>98</v>
      </c>
      <c r="C431" s="5" t="s">
        <v>950</v>
      </c>
      <c r="D431" s="5" t="s">
        <v>1464</v>
      </c>
      <c r="E431" s="5" t="s">
        <v>189</v>
      </c>
      <c r="F431" s="5" t="s">
        <v>161</v>
      </c>
      <c r="G431" s="5" t="s">
        <v>1864</v>
      </c>
      <c r="H431" s="5" t="s">
        <v>1865</v>
      </c>
    </row>
    <row r="432" customFormat="false" ht="15" hidden="false" customHeight="false" outlineLevel="0" collapsed="false">
      <c r="A432" s="5" t="s">
        <v>1866</v>
      </c>
      <c r="B432" s="5" t="s">
        <v>38</v>
      </c>
      <c r="C432" s="5" t="s">
        <v>1867</v>
      </c>
      <c r="D432" s="5" t="s">
        <v>1868</v>
      </c>
      <c r="E432" s="5" t="s">
        <v>243</v>
      </c>
      <c r="F432" s="5" t="s">
        <v>190</v>
      </c>
      <c r="G432" s="5" t="s">
        <v>1869</v>
      </c>
      <c r="H432" s="5" t="s">
        <v>1870</v>
      </c>
    </row>
    <row r="433" customFormat="false" ht="15" hidden="false" customHeight="false" outlineLevel="0" collapsed="false">
      <c r="A433" s="5" t="s">
        <v>1871</v>
      </c>
      <c r="B433" s="5" t="s">
        <v>98</v>
      </c>
      <c r="C433" s="5" t="s">
        <v>99</v>
      </c>
      <c r="D433" s="5" t="s">
        <v>442</v>
      </c>
      <c r="E433" s="5" t="s">
        <v>160</v>
      </c>
      <c r="F433" s="5" t="s">
        <v>155</v>
      </c>
      <c r="G433" s="5" t="s">
        <v>1872</v>
      </c>
      <c r="H433" s="5" t="s">
        <v>1873</v>
      </c>
    </row>
    <row r="434" customFormat="false" ht="15" hidden="false" customHeight="false" outlineLevel="0" collapsed="false">
      <c r="A434" s="5" t="s">
        <v>1874</v>
      </c>
      <c r="B434" s="5" t="s">
        <v>102</v>
      </c>
      <c r="C434" s="5" t="s">
        <v>881</v>
      </c>
      <c r="D434" s="5" t="s">
        <v>1875</v>
      </c>
      <c r="E434" s="5" t="s">
        <v>201</v>
      </c>
      <c r="F434" s="5" t="s">
        <v>148</v>
      </c>
      <c r="G434" s="5" t="s">
        <v>1876</v>
      </c>
      <c r="H434" s="5" t="s">
        <v>1877</v>
      </c>
    </row>
    <row r="435" customFormat="false" ht="15" hidden="false" customHeight="false" outlineLevel="0" collapsed="false">
      <c r="A435" s="5" t="s">
        <v>1878</v>
      </c>
      <c r="B435" s="5" t="s">
        <v>114</v>
      </c>
      <c r="C435" s="5" t="s">
        <v>145</v>
      </c>
      <c r="D435" s="5" t="s">
        <v>1141</v>
      </c>
      <c r="E435" s="5" t="s">
        <v>147</v>
      </c>
      <c r="F435" s="5" t="s">
        <v>161</v>
      </c>
      <c r="G435" s="5" t="s">
        <v>1879</v>
      </c>
      <c r="H435" s="5" t="s">
        <v>1880</v>
      </c>
    </row>
    <row r="436" customFormat="false" ht="15" hidden="false" customHeight="false" outlineLevel="0" collapsed="false">
      <c r="A436" s="5" t="s">
        <v>1881</v>
      </c>
      <c r="B436" s="5" t="s">
        <v>89</v>
      </c>
      <c r="C436" s="5" t="s">
        <v>1206</v>
      </c>
      <c r="D436" s="5" t="s">
        <v>783</v>
      </c>
      <c r="E436" s="5" t="s">
        <v>160</v>
      </c>
      <c r="F436" s="5" t="s">
        <v>183</v>
      </c>
      <c r="G436" s="5" t="s">
        <v>1882</v>
      </c>
      <c r="H436" s="5" t="s">
        <v>1883</v>
      </c>
    </row>
    <row r="437" customFormat="false" ht="15" hidden="false" customHeight="false" outlineLevel="0" collapsed="false">
      <c r="A437" s="5" t="s">
        <v>1884</v>
      </c>
      <c r="B437" s="5" t="s">
        <v>55</v>
      </c>
      <c r="C437" s="5" t="s">
        <v>56</v>
      </c>
      <c r="D437" s="5" t="s">
        <v>419</v>
      </c>
      <c r="E437" s="5" t="s">
        <v>243</v>
      </c>
      <c r="F437" s="5" t="s">
        <v>190</v>
      </c>
      <c r="G437" s="5" t="s">
        <v>1885</v>
      </c>
      <c r="H437" s="5" t="s">
        <v>1886</v>
      </c>
    </row>
    <row r="438" customFormat="false" ht="15" hidden="false" customHeight="false" outlineLevel="0" collapsed="false">
      <c r="A438" s="5" t="s">
        <v>1887</v>
      </c>
      <c r="B438" s="5" t="s">
        <v>90</v>
      </c>
      <c r="C438" s="5" t="s">
        <v>91</v>
      </c>
      <c r="D438" s="5" t="s">
        <v>1888</v>
      </c>
      <c r="E438" s="5" t="s">
        <v>154</v>
      </c>
      <c r="F438" s="5" t="s">
        <v>161</v>
      </c>
      <c r="G438" s="5" t="s">
        <v>1889</v>
      </c>
      <c r="H438" s="5" t="s">
        <v>1890</v>
      </c>
    </row>
    <row r="439" customFormat="false" ht="15" hidden="false" customHeight="false" outlineLevel="0" collapsed="false">
      <c r="A439" s="5" t="s">
        <v>1891</v>
      </c>
      <c r="B439" s="5" t="s">
        <v>87</v>
      </c>
      <c r="C439" s="5" t="s">
        <v>262</v>
      </c>
      <c r="D439" s="5" t="s">
        <v>1847</v>
      </c>
      <c r="E439" s="5" t="s">
        <v>243</v>
      </c>
      <c r="F439" s="5"/>
      <c r="G439" s="5" t="s">
        <v>1892</v>
      </c>
      <c r="H439" s="5" t="s">
        <v>1893</v>
      </c>
    </row>
    <row r="440" customFormat="false" ht="15" hidden="false" customHeight="false" outlineLevel="0" collapsed="false">
      <c r="A440" s="5" t="s">
        <v>1894</v>
      </c>
      <c r="B440" s="5" t="s">
        <v>38</v>
      </c>
      <c r="C440" s="5" t="s">
        <v>39</v>
      </c>
      <c r="D440" s="5" t="s">
        <v>1895</v>
      </c>
      <c r="E440" s="5" t="s">
        <v>154</v>
      </c>
      <c r="F440" s="5" t="s">
        <v>1896</v>
      </c>
      <c r="G440" s="5" t="s">
        <v>1897</v>
      </c>
      <c r="H440" s="5" t="s">
        <v>1898</v>
      </c>
    </row>
    <row r="441" customFormat="false" ht="15" hidden="false" customHeight="false" outlineLevel="0" collapsed="false">
      <c r="A441" s="5" t="s">
        <v>1899</v>
      </c>
      <c r="B441" s="5" t="s">
        <v>90</v>
      </c>
      <c r="C441" s="5" t="s">
        <v>1527</v>
      </c>
      <c r="D441" s="5" t="s">
        <v>1215</v>
      </c>
      <c r="E441" s="5" t="s">
        <v>189</v>
      </c>
      <c r="F441" s="5" t="s">
        <v>698</v>
      </c>
      <c r="G441" s="5" t="s">
        <v>1900</v>
      </c>
      <c r="H441" s="5" t="s">
        <v>1901</v>
      </c>
    </row>
    <row r="442" customFormat="false" ht="15" hidden="false" customHeight="false" outlineLevel="0" collapsed="false">
      <c r="A442" s="5" t="s">
        <v>1902</v>
      </c>
      <c r="B442" s="5" t="s">
        <v>32</v>
      </c>
      <c r="C442" s="5" t="s">
        <v>33</v>
      </c>
      <c r="D442" s="5" t="s">
        <v>1903</v>
      </c>
      <c r="E442" s="5" t="s">
        <v>147</v>
      </c>
      <c r="F442" s="5" t="s">
        <v>183</v>
      </c>
      <c r="G442" s="5" t="s">
        <v>1904</v>
      </c>
      <c r="H442" s="5" t="s">
        <v>1905</v>
      </c>
    </row>
    <row r="443" customFormat="false" ht="15" hidden="false" customHeight="false" outlineLevel="0" collapsed="false">
      <c r="A443" s="5" t="s">
        <v>1906</v>
      </c>
      <c r="B443" s="5" t="s">
        <v>57</v>
      </c>
      <c r="C443" s="5" t="s">
        <v>503</v>
      </c>
      <c r="D443" s="5" t="s">
        <v>616</v>
      </c>
      <c r="E443" s="5" t="s">
        <v>171</v>
      </c>
      <c r="F443" s="5" t="s">
        <v>1896</v>
      </c>
      <c r="G443" s="5" t="s">
        <v>1907</v>
      </c>
      <c r="H443" s="5" t="s">
        <v>1908</v>
      </c>
    </row>
    <row r="444" customFormat="false" ht="15" hidden="false" customHeight="false" outlineLevel="0" collapsed="false">
      <c r="A444" s="5" t="s">
        <v>1909</v>
      </c>
      <c r="B444" s="5" t="s">
        <v>102</v>
      </c>
      <c r="C444" s="5" t="s">
        <v>233</v>
      </c>
      <c r="D444" s="5" t="s">
        <v>1910</v>
      </c>
      <c r="E444" s="5" t="s">
        <v>176</v>
      </c>
      <c r="F444" s="5" t="s">
        <v>190</v>
      </c>
      <c r="G444" s="5" t="s">
        <v>1911</v>
      </c>
      <c r="H444" s="5" t="s">
        <v>1912</v>
      </c>
    </row>
    <row r="445" customFormat="false" ht="15" hidden="false" customHeight="false" outlineLevel="0" collapsed="false">
      <c r="A445" s="5" t="s">
        <v>1913</v>
      </c>
      <c r="B445" s="5" t="s">
        <v>118</v>
      </c>
      <c r="C445" s="5" t="s">
        <v>119</v>
      </c>
      <c r="D445" s="5" t="s">
        <v>817</v>
      </c>
      <c r="E445" s="5" t="s">
        <v>243</v>
      </c>
      <c r="F445" s="5" t="s">
        <v>190</v>
      </c>
      <c r="G445" s="5" t="s">
        <v>1914</v>
      </c>
      <c r="H445" s="5" t="s">
        <v>1915</v>
      </c>
    </row>
    <row r="446" customFormat="false" ht="15" hidden="false" customHeight="false" outlineLevel="0" collapsed="false">
      <c r="A446" s="5" t="s">
        <v>1916</v>
      </c>
      <c r="B446" s="5" t="s">
        <v>116</v>
      </c>
      <c r="C446" s="5" t="s">
        <v>213</v>
      </c>
      <c r="D446" s="5" t="s">
        <v>419</v>
      </c>
      <c r="E446" s="5" t="s">
        <v>189</v>
      </c>
      <c r="F446" s="5" t="s">
        <v>190</v>
      </c>
      <c r="G446" s="5" t="s">
        <v>1917</v>
      </c>
      <c r="H446" s="5" t="s">
        <v>1918</v>
      </c>
    </row>
    <row r="447" customFormat="false" ht="15" hidden="false" customHeight="false" outlineLevel="0" collapsed="false">
      <c r="A447" s="5" t="s">
        <v>1919</v>
      </c>
      <c r="B447" s="5" t="s">
        <v>94</v>
      </c>
      <c r="C447" s="5" t="s">
        <v>427</v>
      </c>
      <c r="D447" s="5" t="s">
        <v>1920</v>
      </c>
      <c r="E447" s="5" t="s">
        <v>243</v>
      </c>
      <c r="F447" s="5" t="s">
        <v>161</v>
      </c>
      <c r="G447" s="5" t="s">
        <v>1921</v>
      </c>
      <c r="H447" s="5" t="s">
        <v>1922</v>
      </c>
    </row>
    <row r="448" customFormat="false" ht="15" hidden="false" customHeight="false" outlineLevel="0" collapsed="false">
      <c r="A448" s="5" t="s">
        <v>1923</v>
      </c>
      <c r="B448" s="5" t="s">
        <v>126</v>
      </c>
      <c r="C448" s="5" t="s">
        <v>111</v>
      </c>
      <c r="D448" s="5" t="s">
        <v>1255</v>
      </c>
      <c r="E448" s="5" t="s">
        <v>154</v>
      </c>
      <c r="F448" s="5" t="s">
        <v>148</v>
      </c>
      <c r="G448" s="5" t="s">
        <v>1924</v>
      </c>
      <c r="H448" s="5" t="s">
        <v>1925</v>
      </c>
    </row>
    <row r="449" customFormat="false" ht="15" hidden="false" customHeight="false" outlineLevel="0" collapsed="false">
      <c r="A449" s="5" t="s">
        <v>1926</v>
      </c>
      <c r="B449" s="5" t="s">
        <v>28</v>
      </c>
      <c r="C449" s="5" t="s">
        <v>29</v>
      </c>
      <c r="D449" s="5" t="s">
        <v>1287</v>
      </c>
      <c r="E449" s="5" t="s">
        <v>160</v>
      </c>
      <c r="F449" s="5" t="s">
        <v>161</v>
      </c>
      <c r="G449" s="5" t="s">
        <v>1927</v>
      </c>
      <c r="H449" s="5" t="s">
        <v>1928</v>
      </c>
    </row>
    <row r="450" customFormat="false" ht="15" hidden="false" customHeight="false" outlineLevel="0" collapsed="false">
      <c r="A450" s="5" t="s">
        <v>1929</v>
      </c>
      <c r="B450" s="5" t="s">
        <v>114</v>
      </c>
      <c r="C450" s="5" t="s">
        <v>1930</v>
      </c>
      <c r="D450" s="5" t="s">
        <v>1931</v>
      </c>
      <c r="E450" s="5" t="s">
        <v>243</v>
      </c>
      <c r="F450" s="5" t="s">
        <v>190</v>
      </c>
      <c r="G450" s="5" t="s">
        <v>1932</v>
      </c>
      <c r="H450" s="5" t="s">
        <v>1933</v>
      </c>
    </row>
    <row r="451" customFormat="false" ht="15" hidden="false" customHeight="false" outlineLevel="0" collapsed="false">
      <c r="A451" s="5" t="s">
        <v>1934</v>
      </c>
      <c r="B451" s="5" t="s">
        <v>120</v>
      </c>
      <c r="C451" s="5" t="s">
        <v>1935</v>
      </c>
      <c r="D451" s="5" t="s">
        <v>868</v>
      </c>
      <c r="E451" s="5" t="s">
        <v>160</v>
      </c>
      <c r="F451" s="5" t="s">
        <v>190</v>
      </c>
      <c r="G451" s="5" t="s">
        <v>1936</v>
      </c>
      <c r="H451" s="5" t="s">
        <v>1937</v>
      </c>
    </row>
    <row r="452" customFormat="false" ht="15" hidden="false" customHeight="false" outlineLevel="0" collapsed="false">
      <c r="A452" s="5" t="s">
        <v>1938</v>
      </c>
      <c r="B452" s="5" t="s">
        <v>114</v>
      </c>
      <c r="C452" s="5" t="s">
        <v>115</v>
      </c>
      <c r="D452" s="5" t="s">
        <v>359</v>
      </c>
      <c r="E452" s="5" t="s">
        <v>182</v>
      </c>
      <c r="F452" s="5" t="s">
        <v>148</v>
      </c>
      <c r="G452" s="5" t="s">
        <v>1939</v>
      </c>
      <c r="H452" s="5" t="s">
        <v>1940</v>
      </c>
    </row>
    <row r="453" customFormat="false" ht="15" hidden="false" customHeight="false" outlineLevel="0" collapsed="false">
      <c r="A453" s="5" t="s">
        <v>1941</v>
      </c>
      <c r="B453" s="5" t="s">
        <v>38</v>
      </c>
      <c r="C453" s="5" t="s">
        <v>39</v>
      </c>
      <c r="D453" s="5" t="s">
        <v>509</v>
      </c>
      <c r="E453" s="5" t="s">
        <v>182</v>
      </c>
      <c r="F453" s="5" t="s">
        <v>161</v>
      </c>
      <c r="G453" s="5" t="s">
        <v>1942</v>
      </c>
      <c r="H453" s="5" t="s">
        <v>1943</v>
      </c>
    </row>
    <row r="454" customFormat="false" ht="15" hidden="false" customHeight="false" outlineLevel="0" collapsed="false">
      <c r="A454" s="5" t="s">
        <v>1944</v>
      </c>
      <c r="B454" s="5" t="s">
        <v>1945</v>
      </c>
      <c r="C454" s="5" t="s">
        <v>33</v>
      </c>
      <c r="D454" s="5" t="s">
        <v>1946</v>
      </c>
      <c r="E454" s="5" t="s">
        <v>171</v>
      </c>
      <c r="F454" s="5" t="s">
        <v>155</v>
      </c>
      <c r="G454" s="5" t="s">
        <v>1947</v>
      </c>
      <c r="H454" s="5" t="s">
        <v>1948</v>
      </c>
    </row>
    <row r="455" customFormat="false" ht="15" hidden="false" customHeight="false" outlineLevel="0" collapsed="false">
      <c r="A455" s="5" t="s">
        <v>1949</v>
      </c>
      <c r="B455" s="5" t="s">
        <v>69</v>
      </c>
      <c r="C455" s="5" t="s">
        <v>752</v>
      </c>
      <c r="D455" s="5" t="s">
        <v>1950</v>
      </c>
      <c r="E455" s="5" t="s">
        <v>243</v>
      </c>
      <c r="F455" s="5" t="s">
        <v>183</v>
      </c>
      <c r="G455" s="5" t="s">
        <v>1951</v>
      </c>
      <c r="H455" s="5" t="s">
        <v>1952</v>
      </c>
    </row>
    <row r="456" customFormat="false" ht="15" hidden="false" customHeight="false" outlineLevel="0" collapsed="false">
      <c r="A456" s="5" t="s">
        <v>1953</v>
      </c>
      <c r="B456" s="5" t="s">
        <v>1954</v>
      </c>
      <c r="C456" s="5" t="s">
        <v>227</v>
      </c>
      <c r="D456" s="5" t="s">
        <v>1955</v>
      </c>
      <c r="E456" s="5" t="s">
        <v>160</v>
      </c>
      <c r="F456" s="5" t="s">
        <v>183</v>
      </c>
      <c r="G456" s="5" t="s">
        <v>1956</v>
      </c>
      <c r="H456" s="5" t="s">
        <v>1957</v>
      </c>
    </row>
    <row r="457" customFormat="false" ht="15" hidden="false" customHeight="false" outlineLevel="0" collapsed="false">
      <c r="A457" s="5" t="s">
        <v>1958</v>
      </c>
      <c r="B457" s="5" t="s">
        <v>127</v>
      </c>
      <c r="C457" s="5" t="s">
        <v>128</v>
      </c>
      <c r="D457" s="5" t="s">
        <v>1674</v>
      </c>
      <c r="E457" s="5" t="s">
        <v>182</v>
      </c>
      <c r="F457" s="5" t="s">
        <v>148</v>
      </c>
      <c r="G457" s="5" t="s">
        <v>1959</v>
      </c>
      <c r="H457" s="5" t="s">
        <v>1960</v>
      </c>
    </row>
    <row r="458" customFormat="false" ht="15" hidden="false" customHeight="false" outlineLevel="0" collapsed="false">
      <c r="A458" s="5" t="s">
        <v>1961</v>
      </c>
      <c r="B458" s="5" t="s">
        <v>102</v>
      </c>
      <c r="C458" s="5" t="s">
        <v>945</v>
      </c>
      <c r="D458" s="5" t="s">
        <v>792</v>
      </c>
      <c r="E458" s="5" t="s">
        <v>243</v>
      </c>
      <c r="F458" s="5" t="s">
        <v>190</v>
      </c>
      <c r="G458" s="5" t="s">
        <v>1962</v>
      </c>
      <c r="H458" s="5" t="s">
        <v>1963</v>
      </c>
    </row>
    <row r="459" customFormat="false" ht="15" hidden="false" customHeight="false" outlineLevel="0" collapsed="false">
      <c r="A459" s="5" t="s">
        <v>1964</v>
      </c>
      <c r="B459" s="5" t="s">
        <v>96</v>
      </c>
      <c r="C459" s="5" t="s">
        <v>115</v>
      </c>
      <c r="D459" s="5" t="s">
        <v>1965</v>
      </c>
      <c r="E459" s="5" t="s">
        <v>176</v>
      </c>
      <c r="F459" s="5" t="s">
        <v>161</v>
      </c>
      <c r="G459" s="5" t="s">
        <v>1966</v>
      </c>
      <c r="H459" s="5" t="s">
        <v>1967</v>
      </c>
    </row>
    <row r="460" customFormat="false" ht="15" hidden="false" customHeight="false" outlineLevel="0" collapsed="false">
      <c r="A460" s="5" t="s">
        <v>1968</v>
      </c>
      <c r="B460" s="5" t="s">
        <v>94</v>
      </c>
      <c r="C460" s="5" t="s">
        <v>1969</v>
      </c>
      <c r="D460" s="5" t="s">
        <v>1970</v>
      </c>
      <c r="E460" s="5" t="s">
        <v>182</v>
      </c>
      <c r="F460" s="5" t="s">
        <v>183</v>
      </c>
      <c r="G460" s="5" t="s">
        <v>1971</v>
      </c>
      <c r="H460" s="5" t="s">
        <v>1972</v>
      </c>
    </row>
    <row r="461" customFormat="false" ht="15" hidden="false" customHeight="false" outlineLevel="0" collapsed="false">
      <c r="A461" s="5" t="s">
        <v>1973</v>
      </c>
      <c r="B461" s="5" t="s">
        <v>24</v>
      </c>
      <c r="C461" s="5" t="s">
        <v>1974</v>
      </c>
      <c r="D461" s="5" t="s">
        <v>787</v>
      </c>
      <c r="E461" s="5" t="s">
        <v>195</v>
      </c>
      <c r="F461" s="5" t="s">
        <v>161</v>
      </c>
      <c r="G461" s="5" t="s">
        <v>1975</v>
      </c>
      <c r="H461" s="5" t="s">
        <v>1976</v>
      </c>
    </row>
    <row r="462" customFormat="false" ht="15" hidden="false" customHeight="false" outlineLevel="0" collapsed="false">
      <c r="A462" s="5" t="s">
        <v>1977</v>
      </c>
      <c r="B462" s="5" t="s">
        <v>96</v>
      </c>
      <c r="C462" s="5" t="s">
        <v>285</v>
      </c>
      <c r="D462" s="5" t="s">
        <v>1978</v>
      </c>
      <c r="E462" s="5" t="s">
        <v>243</v>
      </c>
      <c r="F462" s="5" t="s">
        <v>148</v>
      </c>
      <c r="G462" s="5" t="s">
        <v>1979</v>
      </c>
      <c r="H462" s="5" t="s">
        <v>1980</v>
      </c>
    </row>
    <row r="463" customFormat="false" ht="15" hidden="false" customHeight="false" outlineLevel="0" collapsed="false">
      <c r="A463" s="5" t="s">
        <v>1981</v>
      </c>
      <c r="B463" s="5" t="s">
        <v>83</v>
      </c>
      <c r="C463" s="5" t="s">
        <v>1982</v>
      </c>
      <c r="D463" s="5" t="s">
        <v>753</v>
      </c>
      <c r="E463" s="5" t="s">
        <v>147</v>
      </c>
      <c r="F463" s="5"/>
      <c r="G463" s="5" t="s">
        <v>1983</v>
      </c>
      <c r="H463" s="5" t="s">
        <v>1984</v>
      </c>
    </row>
    <row r="464" customFormat="false" ht="15" hidden="false" customHeight="false" outlineLevel="0" collapsed="false">
      <c r="A464" s="5" t="s">
        <v>1985</v>
      </c>
      <c r="B464" s="5" t="s">
        <v>50</v>
      </c>
      <c r="C464" s="5" t="s">
        <v>247</v>
      </c>
      <c r="D464" s="5" t="s">
        <v>1986</v>
      </c>
      <c r="E464" s="5" t="s">
        <v>171</v>
      </c>
      <c r="F464" s="5" t="s">
        <v>161</v>
      </c>
      <c r="G464" s="5" t="s">
        <v>1987</v>
      </c>
      <c r="H464" s="5" t="s">
        <v>1988</v>
      </c>
    </row>
    <row r="465" customFormat="false" ht="15" hidden="false" customHeight="false" outlineLevel="0" collapsed="false">
      <c r="A465" s="5" t="s">
        <v>1989</v>
      </c>
      <c r="B465" s="5" t="s">
        <v>1990</v>
      </c>
      <c r="C465" s="5" t="s">
        <v>989</v>
      </c>
      <c r="D465" s="5" t="s">
        <v>1991</v>
      </c>
      <c r="E465" s="5" t="s">
        <v>243</v>
      </c>
      <c r="F465" s="5" t="s">
        <v>161</v>
      </c>
      <c r="G465" s="5" t="s">
        <v>1992</v>
      </c>
      <c r="H465" s="5" t="s">
        <v>1993</v>
      </c>
    </row>
    <row r="466" customFormat="false" ht="15" hidden="false" customHeight="false" outlineLevel="0" collapsed="false">
      <c r="A466" s="5" t="s">
        <v>1994</v>
      </c>
      <c r="B466" s="5" t="s">
        <v>46</v>
      </c>
      <c r="C466" s="5" t="s">
        <v>1378</v>
      </c>
      <c r="D466" s="5" t="s">
        <v>525</v>
      </c>
      <c r="E466" s="5" t="s">
        <v>189</v>
      </c>
      <c r="F466" s="5" t="s">
        <v>148</v>
      </c>
      <c r="G466" s="5" t="s">
        <v>1995</v>
      </c>
      <c r="H466" s="5" t="s">
        <v>1996</v>
      </c>
    </row>
    <row r="467" customFormat="false" ht="15" hidden="false" customHeight="false" outlineLevel="0" collapsed="false">
      <c r="A467" s="5" t="s">
        <v>1526</v>
      </c>
      <c r="B467" s="5" t="s">
        <v>90</v>
      </c>
      <c r="C467" s="5" t="s">
        <v>1527</v>
      </c>
      <c r="D467" s="5" t="s">
        <v>268</v>
      </c>
      <c r="E467" s="5" t="s">
        <v>182</v>
      </c>
      <c r="F467" s="5" t="s">
        <v>190</v>
      </c>
      <c r="G467" s="5" t="s">
        <v>1528</v>
      </c>
      <c r="H467" s="5" t="s">
        <v>1529</v>
      </c>
    </row>
    <row r="468" customFormat="false" ht="15" hidden="false" customHeight="false" outlineLevel="0" collapsed="false">
      <c r="A468" s="5" t="s">
        <v>1997</v>
      </c>
      <c r="B468" s="5" t="s">
        <v>122</v>
      </c>
      <c r="C468" s="5" t="s">
        <v>1998</v>
      </c>
      <c r="D468" s="5" t="s">
        <v>688</v>
      </c>
      <c r="E468" s="5" t="s">
        <v>176</v>
      </c>
      <c r="F468" s="5" t="s">
        <v>161</v>
      </c>
      <c r="G468" s="5" t="s">
        <v>1999</v>
      </c>
      <c r="H468" s="5" t="s">
        <v>2000</v>
      </c>
    </row>
    <row r="469" customFormat="false" ht="15" hidden="false" customHeight="false" outlineLevel="0" collapsed="false">
      <c r="A469" s="5" t="s">
        <v>2001</v>
      </c>
      <c r="B469" s="5" t="s">
        <v>32</v>
      </c>
      <c r="C469" s="5" t="s">
        <v>1053</v>
      </c>
      <c r="D469" s="5" t="s">
        <v>821</v>
      </c>
      <c r="E469" s="5" t="s">
        <v>189</v>
      </c>
      <c r="F469" s="5" t="s">
        <v>161</v>
      </c>
      <c r="G469" s="5" t="s">
        <v>2002</v>
      </c>
      <c r="H469" s="5" t="s">
        <v>2003</v>
      </c>
    </row>
    <row r="470" customFormat="false" ht="15" hidden="false" customHeight="false" outlineLevel="0" collapsed="false">
      <c r="A470" s="5" t="s">
        <v>2004</v>
      </c>
      <c r="B470" s="5" t="s">
        <v>126</v>
      </c>
      <c r="C470" s="5" t="s">
        <v>111</v>
      </c>
      <c r="D470" s="5" t="s">
        <v>188</v>
      </c>
      <c r="E470" s="5" t="s">
        <v>243</v>
      </c>
      <c r="F470" s="5"/>
      <c r="G470" s="5" t="s">
        <v>2005</v>
      </c>
      <c r="H470" s="5" t="s">
        <v>2006</v>
      </c>
    </row>
    <row r="471" customFormat="false" ht="15" hidden="false" customHeight="false" outlineLevel="0" collapsed="false">
      <c r="A471" s="5" t="s">
        <v>2007</v>
      </c>
      <c r="B471" s="5" t="s">
        <v>126</v>
      </c>
      <c r="C471" s="5" t="s">
        <v>791</v>
      </c>
      <c r="D471" s="5" t="s">
        <v>2008</v>
      </c>
      <c r="E471" s="5" t="s">
        <v>147</v>
      </c>
      <c r="F471" s="5" t="s">
        <v>155</v>
      </c>
      <c r="G471" s="5" t="s">
        <v>2009</v>
      </c>
      <c r="H471" s="5" t="s">
        <v>2010</v>
      </c>
    </row>
    <row r="472" customFormat="false" ht="15" hidden="false" customHeight="false" outlineLevel="0" collapsed="false">
      <c r="A472" s="5" t="s">
        <v>2011</v>
      </c>
      <c r="B472" s="5" t="s">
        <v>96</v>
      </c>
      <c r="C472" s="5" t="s">
        <v>97</v>
      </c>
      <c r="D472" s="5" t="s">
        <v>2012</v>
      </c>
      <c r="E472" s="5" t="s">
        <v>195</v>
      </c>
      <c r="F472" s="5" t="s">
        <v>161</v>
      </c>
      <c r="G472" s="5" t="s">
        <v>2013</v>
      </c>
      <c r="H472" s="5" t="s">
        <v>2014</v>
      </c>
    </row>
    <row r="473" customFormat="false" ht="15" hidden="false" customHeight="false" outlineLevel="0" collapsed="false">
      <c r="A473" s="5" t="s">
        <v>2015</v>
      </c>
      <c r="B473" s="5" t="s">
        <v>69</v>
      </c>
      <c r="C473" s="5" t="s">
        <v>70</v>
      </c>
      <c r="D473" s="5" t="s">
        <v>2016</v>
      </c>
      <c r="E473" s="5" t="s">
        <v>154</v>
      </c>
      <c r="F473" s="5" t="s">
        <v>183</v>
      </c>
      <c r="G473" s="5" t="s">
        <v>2017</v>
      </c>
      <c r="H473" s="5" t="s">
        <v>2018</v>
      </c>
    </row>
    <row r="474" customFormat="false" ht="15" hidden="false" customHeight="false" outlineLevel="0" collapsed="false">
      <c r="A474" s="5" t="s">
        <v>2019</v>
      </c>
      <c r="B474" s="5" t="s">
        <v>75</v>
      </c>
      <c r="C474" s="5" t="s">
        <v>2020</v>
      </c>
      <c r="D474" s="5" t="s">
        <v>593</v>
      </c>
      <c r="E474" s="5" t="s">
        <v>176</v>
      </c>
      <c r="F474" s="5" t="s">
        <v>190</v>
      </c>
      <c r="G474" s="5" t="s">
        <v>2021</v>
      </c>
      <c r="H474" s="5" t="s">
        <v>2022</v>
      </c>
    </row>
    <row r="475" customFormat="false" ht="15" hidden="false" customHeight="false" outlineLevel="0" collapsed="false">
      <c r="A475" s="5" t="s">
        <v>2023</v>
      </c>
      <c r="B475" s="5" t="s">
        <v>96</v>
      </c>
      <c r="C475" s="5" t="s">
        <v>285</v>
      </c>
      <c r="D475" s="5" t="s">
        <v>2024</v>
      </c>
      <c r="E475" s="5" t="s">
        <v>201</v>
      </c>
      <c r="F475" s="5" t="s">
        <v>155</v>
      </c>
      <c r="G475" s="5" t="s">
        <v>2025</v>
      </c>
      <c r="H475" s="5" t="s">
        <v>2026</v>
      </c>
    </row>
    <row r="476" customFormat="false" ht="15" hidden="false" customHeight="false" outlineLevel="0" collapsed="false">
      <c r="A476" s="5" t="s">
        <v>2027</v>
      </c>
      <c r="B476" s="5" t="s">
        <v>106</v>
      </c>
      <c r="C476" s="5" t="s">
        <v>330</v>
      </c>
      <c r="D476" s="5" t="s">
        <v>2028</v>
      </c>
      <c r="E476" s="5" t="s">
        <v>195</v>
      </c>
      <c r="F476" s="5" t="s">
        <v>161</v>
      </c>
      <c r="G476" s="5" t="s">
        <v>2029</v>
      </c>
      <c r="H476" s="5" t="s">
        <v>2030</v>
      </c>
    </row>
    <row r="477" customFormat="false" ht="15" hidden="false" customHeight="false" outlineLevel="0" collapsed="false">
      <c r="A477" s="5" t="s">
        <v>2031</v>
      </c>
      <c r="B477" s="5" t="s">
        <v>10</v>
      </c>
      <c r="C477" s="5" t="s">
        <v>11</v>
      </c>
      <c r="D477" s="5" t="s">
        <v>841</v>
      </c>
      <c r="E477" s="5" t="s">
        <v>182</v>
      </c>
      <c r="F477" s="5" t="s">
        <v>148</v>
      </c>
      <c r="G477" s="5" t="s">
        <v>2032</v>
      </c>
      <c r="H477" s="5" t="s">
        <v>2033</v>
      </c>
    </row>
    <row r="478" customFormat="false" ht="15" hidden="false" customHeight="false" outlineLevel="0" collapsed="false">
      <c r="A478" s="5" t="s">
        <v>2034</v>
      </c>
      <c r="B478" s="5" t="s">
        <v>2035</v>
      </c>
      <c r="C478" s="5" t="s">
        <v>2036</v>
      </c>
      <c r="D478" s="5" t="s">
        <v>2037</v>
      </c>
      <c r="E478" s="5" t="s">
        <v>243</v>
      </c>
      <c r="F478" s="5" t="s">
        <v>148</v>
      </c>
      <c r="G478" s="5" t="s">
        <v>2038</v>
      </c>
      <c r="H478" s="5" t="s">
        <v>2039</v>
      </c>
    </row>
    <row r="479" customFormat="false" ht="15" hidden="false" customHeight="false" outlineLevel="0" collapsed="false">
      <c r="A479" s="5" t="s">
        <v>2040</v>
      </c>
      <c r="B479" s="5" t="s">
        <v>59</v>
      </c>
      <c r="C479" s="5" t="s">
        <v>1127</v>
      </c>
      <c r="D479" s="5" t="s">
        <v>277</v>
      </c>
      <c r="E479" s="5" t="s">
        <v>160</v>
      </c>
      <c r="F479" s="5" t="s">
        <v>155</v>
      </c>
      <c r="G479" s="5" t="s">
        <v>2041</v>
      </c>
      <c r="H479" s="5" t="s">
        <v>2042</v>
      </c>
    </row>
    <row r="480" customFormat="false" ht="15" hidden="false" customHeight="false" outlineLevel="0" collapsed="false">
      <c r="A480" s="5" t="s">
        <v>2043</v>
      </c>
      <c r="B480" s="5" t="s">
        <v>96</v>
      </c>
      <c r="C480" s="5" t="s">
        <v>2044</v>
      </c>
      <c r="D480" s="5" t="s">
        <v>1618</v>
      </c>
      <c r="E480" s="5" t="s">
        <v>154</v>
      </c>
      <c r="F480" s="5" t="s">
        <v>183</v>
      </c>
      <c r="G480" s="5" t="s">
        <v>2045</v>
      </c>
      <c r="H480" s="5" t="s">
        <v>2046</v>
      </c>
    </row>
    <row r="481" customFormat="false" ht="15" hidden="false" customHeight="false" outlineLevel="0" collapsed="false">
      <c r="A481" s="5" t="s">
        <v>2047</v>
      </c>
      <c r="B481" s="5" t="s">
        <v>116</v>
      </c>
      <c r="C481" s="5" t="s">
        <v>117</v>
      </c>
      <c r="D481" s="5" t="s">
        <v>263</v>
      </c>
      <c r="E481" s="5" t="s">
        <v>171</v>
      </c>
      <c r="F481" s="5" t="s">
        <v>148</v>
      </c>
      <c r="G481" s="5" t="s">
        <v>2048</v>
      </c>
      <c r="H481" s="5" t="s">
        <v>2049</v>
      </c>
    </row>
    <row r="482" customFormat="false" ht="15" hidden="false" customHeight="false" outlineLevel="0" collapsed="false">
      <c r="A482" s="5" t="s">
        <v>2050</v>
      </c>
      <c r="B482" s="5" t="s">
        <v>71</v>
      </c>
      <c r="C482" s="5" t="s">
        <v>752</v>
      </c>
      <c r="D482" s="5" t="s">
        <v>2051</v>
      </c>
      <c r="E482" s="5" t="s">
        <v>154</v>
      </c>
      <c r="F482" s="5" t="s">
        <v>161</v>
      </c>
      <c r="G482" s="5" t="s">
        <v>2052</v>
      </c>
      <c r="H482" s="5" t="s">
        <v>2053</v>
      </c>
    </row>
    <row r="483" customFormat="false" ht="15" hidden="false" customHeight="false" outlineLevel="0" collapsed="false">
      <c r="A483" s="5" t="s">
        <v>2054</v>
      </c>
      <c r="B483" s="5" t="s">
        <v>17</v>
      </c>
      <c r="C483" s="5" t="s">
        <v>18</v>
      </c>
      <c r="D483" s="5" t="s">
        <v>2055</v>
      </c>
      <c r="E483" s="5" t="s">
        <v>154</v>
      </c>
      <c r="F483" s="5" t="s">
        <v>190</v>
      </c>
      <c r="G483" s="5" t="s">
        <v>2056</v>
      </c>
      <c r="H483" s="5" t="s">
        <v>2057</v>
      </c>
    </row>
    <row r="484" customFormat="false" ht="15" hidden="false" customHeight="false" outlineLevel="0" collapsed="false">
      <c r="A484" s="5" t="s">
        <v>2058</v>
      </c>
      <c r="B484" s="5" t="s">
        <v>96</v>
      </c>
      <c r="C484" s="5" t="s">
        <v>285</v>
      </c>
      <c r="D484" s="5" t="s">
        <v>2028</v>
      </c>
      <c r="E484" s="5" t="s">
        <v>171</v>
      </c>
      <c r="F484" s="5" t="s">
        <v>190</v>
      </c>
      <c r="G484" s="5" t="s">
        <v>2059</v>
      </c>
      <c r="H484" s="5" t="s">
        <v>2060</v>
      </c>
    </row>
    <row r="485" customFormat="false" ht="15" hidden="false" customHeight="false" outlineLevel="0" collapsed="false">
      <c r="A485" s="5" t="s">
        <v>2061</v>
      </c>
      <c r="B485" s="5" t="s">
        <v>55</v>
      </c>
      <c r="C485" s="5" t="s">
        <v>56</v>
      </c>
      <c r="D485" s="5" t="s">
        <v>1432</v>
      </c>
      <c r="E485" s="5" t="s">
        <v>176</v>
      </c>
      <c r="F485" s="5" t="s">
        <v>161</v>
      </c>
      <c r="G485" s="5" t="s">
        <v>2062</v>
      </c>
      <c r="H485" s="5" t="s">
        <v>2063</v>
      </c>
    </row>
    <row r="486" customFormat="false" ht="15" hidden="false" customHeight="false" outlineLevel="0" collapsed="false">
      <c r="A486" s="5" t="s">
        <v>2064</v>
      </c>
      <c r="B486" s="5" t="s">
        <v>104</v>
      </c>
      <c r="C486" s="5" t="s">
        <v>105</v>
      </c>
      <c r="D486" s="5" t="s">
        <v>214</v>
      </c>
      <c r="E486" s="5" t="s">
        <v>243</v>
      </c>
      <c r="F486" s="5" t="s">
        <v>148</v>
      </c>
      <c r="G486" s="5" t="s">
        <v>2065</v>
      </c>
      <c r="H486" s="5" t="s">
        <v>2066</v>
      </c>
    </row>
    <row r="487" customFormat="false" ht="15" hidden="false" customHeight="false" outlineLevel="0" collapsed="false">
      <c r="A487" s="5" t="s">
        <v>2067</v>
      </c>
      <c r="B487" s="5" t="s">
        <v>120</v>
      </c>
      <c r="C487" s="5" t="s">
        <v>1550</v>
      </c>
      <c r="D487" s="5" t="s">
        <v>452</v>
      </c>
      <c r="E487" s="5" t="s">
        <v>189</v>
      </c>
      <c r="F487" s="5" t="s">
        <v>190</v>
      </c>
      <c r="G487" s="5" t="s">
        <v>2068</v>
      </c>
      <c r="H487" s="5" t="s">
        <v>2069</v>
      </c>
    </row>
    <row r="488" customFormat="false" ht="15" hidden="false" customHeight="false" outlineLevel="0" collapsed="false">
      <c r="A488" s="5" t="s">
        <v>2070</v>
      </c>
      <c r="B488" s="5" t="s">
        <v>38</v>
      </c>
      <c r="C488" s="5" t="s">
        <v>1867</v>
      </c>
      <c r="D488" s="5" t="s">
        <v>2071</v>
      </c>
      <c r="E488" s="5" t="s">
        <v>182</v>
      </c>
      <c r="F488" s="5" t="s">
        <v>148</v>
      </c>
      <c r="G488" s="5" t="s">
        <v>2072</v>
      </c>
      <c r="H488" s="5" t="s">
        <v>2073</v>
      </c>
    </row>
    <row r="489" customFormat="false" ht="15" hidden="false" customHeight="false" outlineLevel="0" collapsed="false">
      <c r="A489" s="5" t="s">
        <v>2074</v>
      </c>
      <c r="B489" s="5" t="s">
        <v>126</v>
      </c>
      <c r="C489" s="5" t="s">
        <v>931</v>
      </c>
      <c r="D489" s="5" t="s">
        <v>2075</v>
      </c>
      <c r="E489" s="5" t="s">
        <v>147</v>
      </c>
      <c r="F489" s="5" t="s">
        <v>161</v>
      </c>
      <c r="G489" s="5" t="s">
        <v>2076</v>
      </c>
      <c r="H489" s="5" t="s">
        <v>2077</v>
      </c>
    </row>
    <row r="490" customFormat="false" ht="15" hidden="false" customHeight="false" outlineLevel="0" collapsed="false">
      <c r="A490" s="5" t="s">
        <v>2078</v>
      </c>
      <c r="B490" s="5" t="s">
        <v>61</v>
      </c>
      <c r="C490" s="5" t="s">
        <v>2079</v>
      </c>
      <c r="D490" s="5" t="s">
        <v>2080</v>
      </c>
      <c r="E490" s="5" t="s">
        <v>147</v>
      </c>
      <c r="F490" s="5" t="s">
        <v>155</v>
      </c>
      <c r="G490" s="5" t="s">
        <v>2081</v>
      </c>
      <c r="H490" s="5" t="s">
        <v>2082</v>
      </c>
    </row>
    <row r="491" customFormat="false" ht="15" hidden="false" customHeight="false" outlineLevel="0" collapsed="false">
      <c r="A491" s="5" t="s">
        <v>2083</v>
      </c>
      <c r="B491" s="5" t="s">
        <v>17</v>
      </c>
      <c r="C491" s="5" t="s">
        <v>238</v>
      </c>
      <c r="D491" s="5" t="s">
        <v>2084</v>
      </c>
      <c r="E491" s="5" t="s">
        <v>176</v>
      </c>
      <c r="F491" s="5" t="s">
        <v>161</v>
      </c>
      <c r="G491" s="5" t="s">
        <v>2085</v>
      </c>
      <c r="H491" s="5" t="s">
        <v>2086</v>
      </c>
    </row>
    <row r="492" customFormat="false" ht="15" hidden="false" customHeight="false" outlineLevel="0" collapsed="false">
      <c r="A492" s="5" t="s">
        <v>2087</v>
      </c>
      <c r="B492" s="5" t="s">
        <v>110</v>
      </c>
      <c r="C492" s="5" t="s">
        <v>791</v>
      </c>
      <c r="D492" s="5" t="s">
        <v>2088</v>
      </c>
      <c r="E492" s="5" t="s">
        <v>176</v>
      </c>
      <c r="F492" s="5" t="s">
        <v>148</v>
      </c>
      <c r="G492" s="5" t="s">
        <v>2089</v>
      </c>
      <c r="H492" s="5" t="s">
        <v>2090</v>
      </c>
    </row>
    <row r="493" customFormat="false" ht="15" hidden="false" customHeight="false" outlineLevel="0" collapsed="false">
      <c r="A493" s="5" t="s">
        <v>2091</v>
      </c>
      <c r="B493" s="5" t="s">
        <v>44</v>
      </c>
      <c r="C493" s="5" t="s">
        <v>2092</v>
      </c>
      <c r="D493" s="5" t="s">
        <v>2093</v>
      </c>
      <c r="E493" s="5" t="s">
        <v>154</v>
      </c>
      <c r="F493" s="5"/>
      <c r="G493" s="5" t="s">
        <v>2094</v>
      </c>
      <c r="H493" s="5" t="s">
        <v>2095</v>
      </c>
    </row>
    <row r="494" customFormat="false" ht="15" hidden="false" customHeight="false" outlineLevel="0" collapsed="false">
      <c r="A494" s="5" t="s">
        <v>2096</v>
      </c>
      <c r="B494" s="5" t="s">
        <v>2097</v>
      </c>
      <c r="C494" s="5" t="s">
        <v>791</v>
      </c>
      <c r="D494" s="5" t="s">
        <v>2098</v>
      </c>
      <c r="E494" s="5" t="s">
        <v>182</v>
      </c>
      <c r="F494" s="5" t="s">
        <v>190</v>
      </c>
      <c r="G494" s="5" t="s">
        <v>2099</v>
      </c>
      <c r="H494" s="5" t="s">
        <v>2100</v>
      </c>
    </row>
    <row r="495" customFormat="false" ht="15" hidden="false" customHeight="false" outlineLevel="0" collapsed="false">
      <c r="A495" s="5" t="s">
        <v>2101</v>
      </c>
      <c r="B495" s="5" t="s">
        <v>6</v>
      </c>
      <c r="C495" s="5" t="s">
        <v>2102</v>
      </c>
      <c r="D495" s="5" t="s">
        <v>2103</v>
      </c>
      <c r="E495" s="5" t="s">
        <v>160</v>
      </c>
      <c r="F495" s="5" t="s">
        <v>183</v>
      </c>
      <c r="G495" s="5" t="s">
        <v>2104</v>
      </c>
      <c r="H495" s="5" t="s">
        <v>2105</v>
      </c>
    </row>
    <row r="496" customFormat="false" ht="15" hidden="false" customHeight="false" outlineLevel="0" collapsed="false">
      <c r="A496" s="5" t="s">
        <v>2106</v>
      </c>
      <c r="B496" s="5" t="s">
        <v>2107</v>
      </c>
      <c r="C496" s="5" t="s">
        <v>752</v>
      </c>
      <c r="D496" s="5" t="s">
        <v>2108</v>
      </c>
      <c r="E496" s="5" t="s">
        <v>189</v>
      </c>
      <c r="F496" s="5" t="s">
        <v>161</v>
      </c>
      <c r="G496" s="5" t="s">
        <v>2109</v>
      </c>
      <c r="H496" s="5" t="s">
        <v>2110</v>
      </c>
    </row>
    <row r="497" customFormat="false" ht="15" hidden="false" customHeight="false" outlineLevel="0" collapsed="false">
      <c r="A497" s="5" t="s">
        <v>2111</v>
      </c>
      <c r="B497" s="5" t="s">
        <v>10</v>
      </c>
      <c r="C497" s="5" t="s">
        <v>554</v>
      </c>
      <c r="D497" s="5" t="s">
        <v>2112</v>
      </c>
      <c r="E497" s="5" t="s">
        <v>176</v>
      </c>
      <c r="F497" s="5" t="s">
        <v>183</v>
      </c>
      <c r="G497" s="5" t="s">
        <v>2113</v>
      </c>
      <c r="H497" s="5" t="s">
        <v>2114</v>
      </c>
    </row>
    <row r="498" customFormat="false" ht="15" hidden="false" customHeight="false" outlineLevel="0" collapsed="false">
      <c r="A498" s="5" t="s">
        <v>2115</v>
      </c>
      <c r="B498" s="5" t="s">
        <v>57</v>
      </c>
      <c r="C498" s="5" t="s">
        <v>58</v>
      </c>
      <c r="D498" s="5" t="s">
        <v>2116</v>
      </c>
      <c r="E498" s="5" t="s">
        <v>243</v>
      </c>
      <c r="F498" s="5" t="s">
        <v>148</v>
      </c>
      <c r="G498" s="5" t="s">
        <v>2117</v>
      </c>
      <c r="H498" s="5" t="s">
        <v>2118</v>
      </c>
    </row>
    <row r="499" customFormat="false" ht="15" hidden="false" customHeight="false" outlineLevel="0" collapsed="false">
      <c r="A499" s="5" t="s">
        <v>2119</v>
      </c>
      <c r="B499" s="5" t="s">
        <v>6</v>
      </c>
      <c r="C499" s="5" t="s">
        <v>2102</v>
      </c>
      <c r="D499" s="5" t="s">
        <v>725</v>
      </c>
      <c r="E499" s="5" t="s">
        <v>195</v>
      </c>
      <c r="F499" s="5" t="s">
        <v>155</v>
      </c>
      <c r="G499" s="5" t="s">
        <v>2120</v>
      </c>
      <c r="H499" s="5" t="s">
        <v>2121</v>
      </c>
    </row>
    <row r="500" customFormat="false" ht="15" hidden="false" customHeight="false" outlineLevel="0" collapsed="false">
      <c r="A500" s="5" t="s">
        <v>2122</v>
      </c>
      <c r="B500" s="5" t="s">
        <v>104</v>
      </c>
      <c r="C500" s="5" t="s">
        <v>2123</v>
      </c>
      <c r="D500" s="5" t="s">
        <v>313</v>
      </c>
      <c r="E500" s="5" t="s">
        <v>176</v>
      </c>
      <c r="F500" s="5" t="s">
        <v>190</v>
      </c>
      <c r="G500" s="5" t="s">
        <v>2124</v>
      </c>
      <c r="H500" s="5" t="s">
        <v>2125</v>
      </c>
    </row>
    <row r="501" customFormat="false" ht="15" hidden="false" customHeight="false" outlineLevel="0" collapsed="false">
      <c r="A501" s="5" t="s">
        <v>2126</v>
      </c>
      <c r="B501" s="5" t="s">
        <v>2127</v>
      </c>
      <c r="C501" s="5" t="s">
        <v>99</v>
      </c>
      <c r="D501" s="5" t="s">
        <v>1843</v>
      </c>
      <c r="E501" s="5" t="s">
        <v>154</v>
      </c>
      <c r="F501" s="5"/>
      <c r="G501" s="5" t="s">
        <v>2128</v>
      </c>
      <c r="H501" s="5" t="s">
        <v>2129</v>
      </c>
    </row>
    <row r="502" customFormat="false" ht="15" hidden="false" customHeight="false" outlineLevel="0" collapsed="false">
      <c r="A502" s="5" t="s">
        <v>2130</v>
      </c>
      <c r="B502" s="5" t="s">
        <v>90</v>
      </c>
      <c r="C502" s="5" t="s">
        <v>91</v>
      </c>
      <c r="D502" s="5" t="s">
        <v>2131</v>
      </c>
      <c r="E502" s="5" t="s">
        <v>182</v>
      </c>
      <c r="F502" s="5" t="s">
        <v>190</v>
      </c>
      <c r="G502" s="5" t="s">
        <v>2132</v>
      </c>
      <c r="H502" s="5" t="s">
        <v>2133</v>
      </c>
    </row>
    <row r="503" customFormat="false" ht="15" hidden="false" customHeight="false" outlineLevel="0" collapsed="false">
      <c r="A503" s="5" t="s">
        <v>2134</v>
      </c>
      <c r="B503" s="5" t="s">
        <v>98</v>
      </c>
      <c r="C503" s="5" t="s">
        <v>950</v>
      </c>
      <c r="D503" s="5" t="s">
        <v>2135</v>
      </c>
      <c r="E503" s="5" t="s">
        <v>176</v>
      </c>
      <c r="F503" s="5" t="s">
        <v>190</v>
      </c>
      <c r="G503" s="5" t="s">
        <v>2136</v>
      </c>
      <c r="H503" s="5" t="s">
        <v>157</v>
      </c>
    </row>
    <row r="504" customFormat="false" ht="15" hidden="false" customHeight="false" outlineLevel="0" collapsed="false">
      <c r="A504" s="5" t="s">
        <v>2137</v>
      </c>
      <c r="B504" s="5" t="s">
        <v>102</v>
      </c>
      <c r="C504" s="5" t="s">
        <v>103</v>
      </c>
      <c r="D504" s="5" t="s">
        <v>2138</v>
      </c>
      <c r="E504" s="5" t="s">
        <v>189</v>
      </c>
      <c r="F504" s="5" t="s">
        <v>190</v>
      </c>
      <c r="G504" s="5" t="s">
        <v>2139</v>
      </c>
      <c r="H504" s="5" t="s">
        <v>2140</v>
      </c>
    </row>
    <row r="505" customFormat="false" ht="15" hidden="false" customHeight="false" outlineLevel="0" collapsed="false">
      <c r="A505" s="5" t="s">
        <v>2141</v>
      </c>
      <c r="B505" s="5" t="s">
        <v>114</v>
      </c>
      <c r="C505" s="5" t="s">
        <v>145</v>
      </c>
      <c r="D505" s="5" t="s">
        <v>2142</v>
      </c>
      <c r="E505" s="5" t="s">
        <v>201</v>
      </c>
      <c r="F505" s="5" t="s">
        <v>148</v>
      </c>
      <c r="G505" s="5" t="s">
        <v>2143</v>
      </c>
      <c r="H505" s="5" t="s">
        <v>2144</v>
      </c>
    </row>
    <row r="506" customFormat="false" ht="15" hidden="false" customHeight="false" outlineLevel="0" collapsed="false">
      <c r="A506" s="5" t="s">
        <v>2145</v>
      </c>
      <c r="B506" s="5" t="s">
        <v>79</v>
      </c>
      <c r="C506" s="5" t="s">
        <v>252</v>
      </c>
      <c r="D506" s="5" t="s">
        <v>711</v>
      </c>
      <c r="E506" s="5" t="s">
        <v>182</v>
      </c>
      <c r="F506" s="5" t="s">
        <v>161</v>
      </c>
      <c r="G506" s="5" t="s">
        <v>2146</v>
      </c>
      <c r="H506" s="5" t="s">
        <v>2147</v>
      </c>
    </row>
    <row r="507" customFormat="false" ht="15" hidden="false" customHeight="false" outlineLevel="0" collapsed="false">
      <c r="A507" s="5" t="s">
        <v>2148</v>
      </c>
      <c r="B507" s="5" t="s">
        <v>75</v>
      </c>
      <c r="C507" s="5" t="s">
        <v>76</v>
      </c>
      <c r="D507" s="5" t="s">
        <v>313</v>
      </c>
      <c r="E507" s="5" t="s">
        <v>195</v>
      </c>
      <c r="F507" s="5" t="s">
        <v>155</v>
      </c>
      <c r="G507" s="5" t="s">
        <v>2149</v>
      </c>
      <c r="H507" s="5" t="s">
        <v>2150</v>
      </c>
    </row>
    <row r="508" customFormat="false" ht="15" hidden="false" customHeight="false" outlineLevel="0" collapsed="false">
      <c r="A508" s="5" t="s">
        <v>2151</v>
      </c>
      <c r="B508" s="5" t="s">
        <v>106</v>
      </c>
      <c r="C508" s="5" t="s">
        <v>1229</v>
      </c>
      <c r="D508" s="5" t="s">
        <v>1790</v>
      </c>
      <c r="E508" s="5" t="s">
        <v>171</v>
      </c>
      <c r="F508" s="5" t="s">
        <v>183</v>
      </c>
      <c r="G508" s="5" t="s">
        <v>2152</v>
      </c>
      <c r="H508" s="5" t="s">
        <v>2153</v>
      </c>
    </row>
    <row r="509" customFormat="false" ht="15" hidden="false" customHeight="false" outlineLevel="0" collapsed="false">
      <c r="A509" s="5" t="s">
        <v>2154</v>
      </c>
      <c r="B509" s="5" t="s">
        <v>122</v>
      </c>
      <c r="C509" s="5" t="s">
        <v>363</v>
      </c>
      <c r="D509" s="5" t="s">
        <v>354</v>
      </c>
      <c r="E509" s="5" t="s">
        <v>154</v>
      </c>
      <c r="F509" s="5" t="s">
        <v>161</v>
      </c>
      <c r="G509" s="5" t="s">
        <v>2155</v>
      </c>
      <c r="H509" s="5" t="s">
        <v>2156</v>
      </c>
    </row>
    <row r="510" customFormat="false" ht="15" hidden="false" customHeight="false" outlineLevel="0" collapsed="false">
      <c r="A510" s="5" t="s">
        <v>2157</v>
      </c>
      <c r="B510" s="5" t="s">
        <v>2158</v>
      </c>
      <c r="C510" s="5" t="s">
        <v>123</v>
      </c>
      <c r="D510" s="5" t="s">
        <v>1335</v>
      </c>
      <c r="E510" s="5" t="s">
        <v>189</v>
      </c>
      <c r="F510" s="5" t="s">
        <v>190</v>
      </c>
      <c r="G510" s="5" t="s">
        <v>2159</v>
      </c>
      <c r="H510" s="5" t="s">
        <v>2160</v>
      </c>
    </row>
    <row r="511" customFormat="false" ht="15" hidden="false" customHeight="false" outlineLevel="0" collapsed="false">
      <c r="A511" s="5" t="s">
        <v>2161</v>
      </c>
      <c r="B511" s="5" t="s">
        <v>6</v>
      </c>
      <c r="C511" s="5" t="s">
        <v>152</v>
      </c>
      <c r="D511" s="5" t="s">
        <v>1282</v>
      </c>
      <c r="E511" s="5" t="s">
        <v>189</v>
      </c>
      <c r="F511" s="5" t="s">
        <v>161</v>
      </c>
      <c r="G511" s="5" t="s">
        <v>2162</v>
      </c>
      <c r="H511" s="5" t="s">
        <v>2163</v>
      </c>
    </row>
    <row r="512" customFormat="false" ht="15" hidden="false" customHeight="false" outlineLevel="0" collapsed="false">
      <c r="A512" s="5" t="s">
        <v>2164</v>
      </c>
      <c r="B512" s="5" t="s">
        <v>108</v>
      </c>
      <c r="C512" s="5" t="s">
        <v>1659</v>
      </c>
      <c r="D512" s="5" t="s">
        <v>2165</v>
      </c>
      <c r="E512" s="5" t="s">
        <v>182</v>
      </c>
      <c r="F512" s="5" t="s">
        <v>161</v>
      </c>
      <c r="G512" s="5" t="s">
        <v>2166</v>
      </c>
      <c r="H512" s="5" t="s">
        <v>2167</v>
      </c>
    </row>
    <row r="513" customFormat="false" ht="15" hidden="false" customHeight="false" outlineLevel="0" collapsed="false">
      <c r="A513" s="5" t="s">
        <v>2168</v>
      </c>
      <c r="B513" s="5" t="s">
        <v>106</v>
      </c>
      <c r="C513" s="5" t="s">
        <v>1229</v>
      </c>
      <c r="D513" s="5" t="s">
        <v>1089</v>
      </c>
      <c r="E513" s="5" t="s">
        <v>171</v>
      </c>
      <c r="F513" s="5" t="s">
        <v>155</v>
      </c>
      <c r="G513" s="5" t="s">
        <v>2169</v>
      </c>
      <c r="H513" s="5" t="s">
        <v>2170</v>
      </c>
    </row>
    <row r="514" customFormat="false" ht="15" hidden="false" customHeight="false" outlineLevel="0" collapsed="false">
      <c r="A514" s="5" t="s">
        <v>2171</v>
      </c>
      <c r="B514" s="5" t="s">
        <v>100</v>
      </c>
      <c r="C514" s="5" t="s">
        <v>1789</v>
      </c>
      <c r="D514" s="5" t="s">
        <v>854</v>
      </c>
      <c r="E514" s="5" t="s">
        <v>147</v>
      </c>
      <c r="F514" s="5" t="s">
        <v>155</v>
      </c>
      <c r="G514" s="5" t="s">
        <v>2172</v>
      </c>
      <c r="H514" s="5" t="s">
        <v>2173</v>
      </c>
    </row>
    <row r="515" customFormat="false" ht="15" hidden="false" customHeight="false" outlineLevel="0" collapsed="false">
      <c r="A515" s="5" t="s">
        <v>2174</v>
      </c>
      <c r="B515" s="5" t="s">
        <v>28</v>
      </c>
      <c r="C515" s="5" t="s">
        <v>29</v>
      </c>
      <c r="D515" s="5" t="s">
        <v>804</v>
      </c>
      <c r="E515" s="5" t="s">
        <v>176</v>
      </c>
      <c r="F515" s="5" t="s">
        <v>183</v>
      </c>
      <c r="G515" s="5" t="s">
        <v>2175</v>
      </c>
      <c r="H515" s="5" t="s">
        <v>2176</v>
      </c>
    </row>
    <row r="516" customFormat="false" ht="15" hidden="false" customHeight="false" outlineLevel="0" collapsed="false">
      <c r="A516" s="5" t="s">
        <v>2177</v>
      </c>
      <c r="B516" s="5" t="s">
        <v>17</v>
      </c>
      <c r="C516" s="5" t="s">
        <v>18</v>
      </c>
      <c r="D516" s="5" t="s">
        <v>1459</v>
      </c>
      <c r="E516" s="5" t="s">
        <v>154</v>
      </c>
      <c r="F516" s="5" t="s">
        <v>190</v>
      </c>
      <c r="G516" s="5" t="s">
        <v>2178</v>
      </c>
      <c r="H516" s="5" t="s">
        <v>2179</v>
      </c>
    </row>
    <row r="517" customFormat="false" ht="15" hidden="false" customHeight="false" outlineLevel="0" collapsed="false">
      <c r="A517" s="5" t="s">
        <v>2180</v>
      </c>
      <c r="B517" s="5" t="s">
        <v>46</v>
      </c>
      <c r="C517" s="5" t="s">
        <v>47</v>
      </c>
      <c r="D517" s="5" t="s">
        <v>428</v>
      </c>
      <c r="E517" s="5" t="s">
        <v>201</v>
      </c>
      <c r="F517" s="5" t="s">
        <v>148</v>
      </c>
      <c r="G517" s="5" t="s">
        <v>2181</v>
      </c>
      <c r="H517" s="5" t="s">
        <v>430</v>
      </c>
    </row>
    <row r="518" customFormat="false" ht="15" hidden="false" customHeight="false" outlineLevel="0" collapsed="false">
      <c r="A518" s="5" t="s">
        <v>2182</v>
      </c>
      <c r="B518" s="5" t="s">
        <v>110</v>
      </c>
      <c r="C518" s="5" t="s">
        <v>111</v>
      </c>
      <c r="D518" s="5" t="s">
        <v>2183</v>
      </c>
      <c r="E518" s="5" t="s">
        <v>147</v>
      </c>
      <c r="F518" s="5" t="s">
        <v>148</v>
      </c>
      <c r="G518" s="5" t="s">
        <v>2184</v>
      </c>
      <c r="H518" s="5" t="s">
        <v>2185</v>
      </c>
    </row>
    <row r="519" customFormat="false" ht="15" hidden="false" customHeight="false" outlineLevel="0" collapsed="false">
      <c r="A519" s="5" t="s">
        <v>2186</v>
      </c>
      <c r="B519" s="5" t="s">
        <v>96</v>
      </c>
      <c r="C519" s="5" t="s">
        <v>97</v>
      </c>
      <c r="D519" s="5" t="s">
        <v>1950</v>
      </c>
      <c r="E519" s="5" t="s">
        <v>182</v>
      </c>
      <c r="F519" s="5" t="s">
        <v>155</v>
      </c>
      <c r="G519" s="5" t="s">
        <v>2187</v>
      </c>
      <c r="H519" s="5" t="s">
        <v>2188</v>
      </c>
    </row>
    <row r="520" customFormat="false" ht="15" hidden="false" customHeight="false" outlineLevel="0" collapsed="false">
      <c r="A520" s="5" t="s">
        <v>2189</v>
      </c>
      <c r="B520" s="5" t="s">
        <v>63</v>
      </c>
      <c r="C520" s="5" t="s">
        <v>64</v>
      </c>
      <c r="D520" s="5" t="s">
        <v>951</v>
      </c>
      <c r="E520" s="5" t="s">
        <v>147</v>
      </c>
      <c r="F520" s="5" t="s">
        <v>183</v>
      </c>
      <c r="G520" s="5" t="s">
        <v>2190</v>
      </c>
      <c r="H520" s="5" t="s">
        <v>2191</v>
      </c>
    </row>
    <row r="521" customFormat="false" ht="15" hidden="false" customHeight="false" outlineLevel="0" collapsed="false">
      <c r="A521" s="5" t="s">
        <v>2192</v>
      </c>
      <c r="B521" s="5" t="s">
        <v>69</v>
      </c>
      <c r="C521" s="5" t="s">
        <v>508</v>
      </c>
      <c r="D521" s="5" t="s">
        <v>2193</v>
      </c>
      <c r="E521" s="5" t="s">
        <v>147</v>
      </c>
      <c r="F521" s="5" t="s">
        <v>148</v>
      </c>
      <c r="G521" s="5" t="s">
        <v>2194</v>
      </c>
      <c r="H521" s="5" t="s">
        <v>2195</v>
      </c>
    </row>
    <row r="522" customFormat="false" ht="15" hidden="false" customHeight="false" outlineLevel="0" collapsed="false">
      <c r="A522" s="5" t="s">
        <v>2196</v>
      </c>
      <c r="B522" s="5" t="s">
        <v>46</v>
      </c>
      <c r="C522" s="5" t="s">
        <v>1378</v>
      </c>
      <c r="D522" s="5" t="s">
        <v>711</v>
      </c>
      <c r="E522" s="5" t="s">
        <v>201</v>
      </c>
      <c r="F522" s="5" t="s">
        <v>161</v>
      </c>
      <c r="G522" s="5" t="s">
        <v>2197</v>
      </c>
      <c r="H522" s="5" t="s">
        <v>2198</v>
      </c>
    </row>
    <row r="523" customFormat="false" ht="15" hidden="false" customHeight="false" outlineLevel="0" collapsed="false">
      <c r="A523" s="5" t="s">
        <v>2199</v>
      </c>
      <c r="B523" s="5" t="s">
        <v>67</v>
      </c>
      <c r="C523" s="5" t="s">
        <v>2200</v>
      </c>
      <c r="D523" s="5" t="s">
        <v>1080</v>
      </c>
      <c r="E523" s="5" t="s">
        <v>154</v>
      </c>
      <c r="F523" s="5" t="s">
        <v>148</v>
      </c>
      <c r="G523" s="5" t="s">
        <v>2201</v>
      </c>
      <c r="H523" s="5" t="s">
        <v>2202</v>
      </c>
    </row>
    <row r="524" customFormat="false" ht="15" hidden="false" customHeight="false" outlineLevel="0" collapsed="false">
      <c r="A524" s="5" t="s">
        <v>2203</v>
      </c>
      <c r="B524" s="5" t="s">
        <v>133</v>
      </c>
      <c r="C524" s="5" t="s">
        <v>999</v>
      </c>
      <c r="D524" s="5" t="s">
        <v>1481</v>
      </c>
      <c r="E524" s="5" t="s">
        <v>201</v>
      </c>
      <c r="F524" s="5" t="s">
        <v>190</v>
      </c>
      <c r="G524" s="5" t="s">
        <v>2204</v>
      </c>
      <c r="H524" s="5" t="s">
        <v>2205</v>
      </c>
    </row>
    <row r="525" customFormat="false" ht="15" hidden="false" customHeight="false" outlineLevel="0" collapsed="false">
      <c r="A525" s="5" t="s">
        <v>2206</v>
      </c>
      <c r="B525" s="5" t="s">
        <v>122</v>
      </c>
      <c r="C525" s="5" t="s">
        <v>1998</v>
      </c>
      <c r="D525" s="5" t="s">
        <v>605</v>
      </c>
      <c r="E525" s="5" t="s">
        <v>176</v>
      </c>
      <c r="F525" s="5" t="s">
        <v>161</v>
      </c>
      <c r="G525" s="5" t="s">
        <v>2207</v>
      </c>
      <c r="H525" s="5" t="s">
        <v>2208</v>
      </c>
    </row>
    <row r="526" customFormat="false" ht="15" hidden="false" customHeight="false" outlineLevel="0" collapsed="false">
      <c r="A526" s="5" t="s">
        <v>2209</v>
      </c>
      <c r="B526" s="5" t="s">
        <v>46</v>
      </c>
      <c r="C526" s="5" t="s">
        <v>485</v>
      </c>
      <c r="D526" s="5" t="s">
        <v>2210</v>
      </c>
      <c r="E526" s="5" t="s">
        <v>171</v>
      </c>
      <c r="F526" s="5" t="s">
        <v>190</v>
      </c>
      <c r="G526" s="5" t="s">
        <v>2211</v>
      </c>
      <c r="H526" s="5" t="s">
        <v>2212</v>
      </c>
    </row>
    <row r="527" customFormat="false" ht="15" hidden="false" customHeight="false" outlineLevel="0" collapsed="false">
      <c r="A527" s="5" t="s">
        <v>2213</v>
      </c>
      <c r="B527" s="5" t="s">
        <v>122</v>
      </c>
      <c r="C527" s="5" t="s">
        <v>123</v>
      </c>
      <c r="D527" s="5" t="s">
        <v>423</v>
      </c>
      <c r="E527" s="5" t="s">
        <v>195</v>
      </c>
      <c r="F527" s="5" t="s">
        <v>161</v>
      </c>
      <c r="G527" s="5" t="s">
        <v>2214</v>
      </c>
      <c r="H527" s="5" t="s">
        <v>2215</v>
      </c>
    </row>
    <row r="528" customFormat="false" ht="15" hidden="false" customHeight="false" outlineLevel="0" collapsed="false">
      <c r="A528" s="5" t="s">
        <v>2216</v>
      </c>
      <c r="B528" s="5" t="s">
        <v>2217</v>
      </c>
      <c r="C528" s="5" t="s">
        <v>782</v>
      </c>
      <c r="D528" s="5" t="s">
        <v>1093</v>
      </c>
      <c r="E528" s="5" t="s">
        <v>160</v>
      </c>
      <c r="F528" s="5" t="s">
        <v>148</v>
      </c>
      <c r="G528" s="5" t="s">
        <v>2218</v>
      </c>
      <c r="H528" s="5" t="s">
        <v>2219</v>
      </c>
    </row>
    <row r="529" customFormat="false" ht="15" hidden="false" customHeight="false" outlineLevel="0" collapsed="false">
      <c r="A529" s="5" t="s">
        <v>2220</v>
      </c>
      <c r="B529" s="5" t="s">
        <v>44</v>
      </c>
      <c r="C529" s="5" t="s">
        <v>2221</v>
      </c>
      <c r="D529" s="5" t="s">
        <v>2222</v>
      </c>
      <c r="E529" s="5" t="s">
        <v>195</v>
      </c>
      <c r="F529" s="5" t="s">
        <v>190</v>
      </c>
      <c r="G529" s="5" t="s">
        <v>2223</v>
      </c>
      <c r="H529" s="5" t="s">
        <v>2224</v>
      </c>
    </row>
    <row r="530" customFormat="false" ht="15" hidden="false" customHeight="false" outlineLevel="0" collapsed="false">
      <c r="A530" s="5" t="s">
        <v>2225</v>
      </c>
      <c r="B530" s="5" t="s">
        <v>30</v>
      </c>
      <c r="C530" s="5" t="s">
        <v>2226</v>
      </c>
      <c r="D530" s="5" t="s">
        <v>2227</v>
      </c>
      <c r="E530" s="5" t="s">
        <v>182</v>
      </c>
      <c r="F530" s="5" t="s">
        <v>161</v>
      </c>
      <c r="G530" s="5" t="s">
        <v>2228</v>
      </c>
      <c r="H530" s="5" t="s">
        <v>2229</v>
      </c>
    </row>
    <row r="531" customFormat="false" ht="15" hidden="false" customHeight="false" outlineLevel="0" collapsed="false">
      <c r="A531" s="5" t="s">
        <v>2230</v>
      </c>
      <c r="B531" s="5" t="s">
        <v>120</v>
      </c>
      <c r="C531" s="5" t="s">
        <v>1550</v>
      </c>
      <c r="D531" s="5" t="s">
        <v>717</v>
      </c>
      <c r="E531" s="5" t="s">
        <v>201</v>
      </c>
      <c r="F531" s="5" t="s">
        <v>148</v>
      </c>
      <c r="G531" s="5" t="s">
        <v>2231</v>
      </c>
      <c r="H531" s="5" t="s">
        <v>2232</v>
      </c>
    </row>
    <row r="532" customFormat="false" ht="15" hidden="false" customHeight="false" outlineLevel="0" collapsed="false">
      <c r="A532" s="5" t="s">
        <v>2233</v>
      </c>
      <c r="B532" s="5" t="s">
        <v>2234</v>
      </c>
      <c r="C532" s="5" t="s">
        <v>545</v>
      </c>
      <c r="D532" s="5" t="s">
        <v>538</v>
      </c>
      <c r="E532" s="5" t="s">
        <v>171</v>
      </c>
      <c r="F532" s="5" t="s">
        <v>183</v>
      </c>
      <c r="G532" s="5" t="s">
        <v>2235</v>
      </c>
      <c r="H532" s="5" t="s">
        <v>2236</v>
      </c>
    </row>
    <row r="533" customFormat="false" ht="15" hidden="false" customHeight="false" outlineLevel="0" collapsed="false">
      <c r="A533" s="5" t="s">
        <v>2237</v>
      </c>
      <c r="B533" s="5" t="s">
        <v>28</v>
      </c>
      <c r="C533" s="5" t="s">
        <v>628</v>
      </c>
      <c r="D533" s="5" t="s">
        <v>2238</v>
      </c>
      <c r="E533" s="5" t="s">
        <v>160</v>
      </c>
      <c r="F533" s="5" t="s">
        <v>161</v>
      </c>
      <c r="G533" s="5" t="s">
        <v>2239</v>
      </c>
      <c r="H533" s="5" t="s">
        <v>2240</v>
      </c>
    </row>
    <row r="534" customFormat="false" ht="15" hidden="false" customHeight="false" outlineLevel="0" collapsed="false">
      <c r="A534" s="5" t="s">
        <v>2241</v>
      </c>
      <c r="B534" s="5" t="s">
        <v>112</v>
      </c>
      <c r="C534" s="5" t="s">
        <v>816</v>
      </c>
      <c r="D534" s="5" t="s">
        <v>2242</v>
      </c>
      <c r="E534" s="5" t="s">
        <v>189</v>
      </c>
      <c r="F534" s="5" t="s">
        <v>183</v>
      </c>
      <c r="G534" s="5" t="s">
        <v>2243</v>
      </c>
      <c r="H534" s="5" t="s">
        <v>2244</v>
      </c>
    </row>
    <row r="535" customFormat="false" ht="15" hidden="false" customHeight="false" outlineLevel="0" collapsed="false">
      <c r="A535" s="5" t="s">
        <v>2245</v>
      </c>
      <c r="B535" s="5" t="s">
        <v>46</v>
      </c>
      <c r="C535" s="5" t="s">
        <v>1378</v>
      </c>
      <c r="D535" s="5" t="s">
        <v>1149</v>
      </c>
      <c r="E535" s="5" t="s">
        <v>176</v>
      </c>
      <c r="F535" s="5" t="s">
        <v>148</v>
      </c>
      <c r="G535" s="5" t="s">
        <v>2246</v>
      </c>
      <c r="H535" s="5" t="s">
        <v>2247</v>
      </c>
    </row>
    <row r="536" customFormat="false" ht="15" hidden="false" customHeight="false" outlineLevel="0" collapsed="false">
      <c r="A536" s="5" t="s">
        <v>2248</v>
      </c>
      <c r="B536" s="5" t="s">
        <v>20</v>
      </c>
      <c r="C536" s="5" t="s">
        <v>702</v>
      </c>
      <c r="D536" s="5" t="s">
        <v>1801</v>
      </c>
      <c r="E536" s="5" t="s">
        <v>201</v>
      </c>
      <c r="F536" s="5" t="s">
        <v>161</v>
      </c>
      <c r="G536" s="5" t="s">
        <v>2249</v>
      </c>
      <c r="H536" s="5" t="s">
        <v>2250</v>
      </c>
    </row>
    <row r="537" customFormat="false" ht="15" hidden="false" customHeight="false" outlineLevel="0" collapsed="false">
      <c r="A537" s="5" t="s">
        <v>2251</v>
      </c>
      <c r="B537" s="5" t="s">
        <v>96</v>
      </c>
      <c r="C537" s="5" t="s">
        <v>97</v>
      </c>
      <c r="D537" s="5" t="s">
        <v>2252</v>
      </c>
      <c r="E537" s="5" t="s">
        <v>171</v>
      </c>
      <c r="F537" s="5" t="s">
        <v>161</v>
      </c>
      <c r="G537" s="5" t="s">
        <v>2253</v>
      </c>
      <c r="H537" s="5" t="s">
        <v>2254</v>
      </c>
    </row>
    <row r="538" customFormat="false" ht="15" hidden="false" customHeight="false" outlineLevel="0" collapsed="false">
      <c r="A538" s="5" t="s">
        <v>2255</v>
      </c>
      <c r="B538" s="5" t="s">
        <v>14</v>
      </c>
      <c r="C538" s="5" t="s">
        <v>11</v>
      </c>
      <c r="D538" s="5" t="s">
        <v>593</v>
      </c>
      <c r="E538" s="5" t="s">
        <v>189</v>
      </c>
      <c r="F538" s="5" t="s">
        <v>190</v>
      </c>
      <c r="G538" s="5" t="s">
        <v>2256</v>
      </c>
      <c r="H538" s="5" t="s">
        <v>2257</v>
      </c>
    </row>
    <row r="539" customFormat="false" ht="15" hidden="false" customHeight="false" outlineLevel="0" collapsed="false">
      <c r="A539" s="5" t="s">
        <v>2258</v>
      </c>
      <c r="B539" s="5" t="s">
        <v>14</v>
      </c>
      <c r="C539" s="5" t="s">
        <v>15</v>
      </c>
      <c r="D539" s="5" t="s">
        <v>2259</v>
      </c>
      <c r="E539" s="5" t="s">
        <v>189</v>
      </c>
      <c r="F539" s="5" t="s">
        <v>148</v>
      </c>
      <c r="G539" s="5" t="s">
        <v>2260</v>
      </c>
      <c r="H539" s="5" t="s">
        <v>2261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3"/>
  </cols>
  <sheetData>
    <row r="1" customFormat="false" ht="17.35" hidden="false" customHeight="false" outlineLevel="0" collapsed="false">
      <c r="A1" s="1" t="s">
        <v>2262</v>
      </c>
    </row>
    <row r="2" customFormat="false" ht="15" hidden="false" customHeight="false" outlineLevel="0" collapsed="false">
      <c r="A2" s="2" t="s">
        <v>2263</v>
      </c>
    </row>
    <row r="4" customFormat="false" ht="15" hidden="false" customHeight="false" outlineLevel="0" collapsed="false">
      <c r="A4" s="3" t="s">
        <v>138</v>
      </c>
      <c r="B4" s="3" t="s">
        <v>2264</v>
      </c>
      <c r="C4" s="3" t="s">
        <v>2265</v>
      </c>
      <c r="D4" s="3" t="s">
        <v>2266</v>
      </c>
      <c r="E4" s="3" t="s">
        <v>2267</v>
      </c>
      <c r="F4" s="3" t="s">
        <v>2268</v>
      </c>
      <c r="G4" s="3" t="s">
        <v>2269</v>
      </c>
      <c r="H4" s="3" t="s">
        <v>141</v>
      </c>
      <c r="I4" s="3" t="s">
        <v>2270</v>
      </c>
      <c r="J4" s="3" t="s">
        <v>140</v>
      </c>
      <c r="K4" s="3" t="s">
        <v>2271</v>
      </c>
      <c r="L4" s="3" t="s">
        <v>2272</v>
      </c>
      <c r="M4" s="3" t="s">
        <v>2273</v>
      </c>
      <c r="N4" s="3" t="s">
        <v>2274</v>
      </c>
      <c r="O4" s="3" t="s">
        <v>4</v>
      </c>
      <c r="P4" s="3" t="s">
        <v>5</v>
      </c>
      <c r="Q4" s="3" t="s">
        <v>2275</v>
      </c>
      <c r="R4" s="3" t="s">
        <v>2276</v>
      </c>
    </row>
    <row r="5" customFormat="false" ht="15" hidden="false" customHeight="false" outlineLevel="0" collapsed="false">
      <c r="A5" s="4" t="str">
        <f aca="false">Orders_Raw!A5</f>
        <v>ORD00385</v>
      </c>
      <c r="B5" s="4" t="str">
        <f aca="false">TRIM(UPPER(Orders_Raw!B5))</f>
        <v>CUST0049</v>
      </c>
      <c r="C5" s="4" t="str">
        <f aca="false">PROPER(TRIM(Orders_Raw!C5))</f>
        <v>Bisi Ajayi</v>
      </c>
      <c r="D5" s="6" t="n">
        <f aca="false">IFERROR(DATEVALUE(Orders_Raw!D5),"")</f>
        <v>46146</v>
      </c>
      <c r="E5" s="4" t="str">
        <f aca="false">IF(D5="","No","Yes")</f>
        <v>Yes</v>
      </c>
      <c r="F5" s="4" t="n">
        <f aca="false">IFERROR(VALUE(SUBSTITUTE(SUBSTITUTE(SUBSTITUTE(Orders_Raw!G5,"$",""),"NGN",""),",","")),"")</f>
        <v>1557.36</v>
      </c>
      <c r="G5" s="4" t="str">
        <f aca="false">IF(F5="","No","Yes")</f>
        <v>Yes</v>
      </c>
      <c r="H5" s="4" t="str">
        <f aca="false">Orders_Raw!F5</f>
        <v>3</v>
      </c>
      <c r="I5" s="4" t="str">
        <f aca="false">IF(H5="","No",IF(H5&lt;=0,"No","Yes"))</f>
        <v>Yes</v>
      </c>
      <c r="J5" s="4" t="str">
        <f aca="false">Orders_Raw!E5</f>
        <v>Tablet</v>
      </c>
      <c r="K5" s="4" t="str">
        <f aca="false">Orders_Raw!H5</f>
        <v>2026-05-04 12:25</v>
      </c>
      <c r="L5" s="4" t="str">
        <f aca="false">IF(COUNTIF(Orders_Raw!$A$5:$A$539,A5)&gt;1,"YES","No")</f>
        <v>No</v>
      </c>
      <c r="M5" s="4" t="str">
        <f aca="false">IF(COUNTIFS($B$5:$B$539,B5,$D$5:$D$539,D5,$F$5:$F$539,F5)&gt;1,"YES","No")</f>
        <v>No</v>
      </c>
      <c r="N5" s="4" t="str">
        <f aca="false">IFERROR(INDEX(Customer_Master!$B$5:$B$64,MATCH(B5,Customer_Master!$A$5:$A$64,0)),"UNMATCHED")</f>
        <v>Bisi Ajayi</v>
      </c>
      <c r="O5" s="4" t="str">
        <f aca="false">IFERROR(INDEX(Customer_Master!$C$5:$C$64,MATCH(B5,Customer_Master!$A$5:$A$64,0)),"UNMATCHED")</f>
        <v>Loyal</v>
      </c>
      <c r="P5" s="4" t="str">
        <f aca="false">IFERROR(INDEX(Customer_Master!$D$5:$D$64,MATCH(B5,Customer_Master!$A$5:$A$64,0)),"UNMATCHED")</f>
        <v>Abuja</v>
      </c>
      <c r="Q5" s="4" t="str">
        <f aca="false">IF(N5="UNMATCHED","Unmatched","Matched")</f>
        <v>Matched</v>
      </c>
      <c r="R5" s="4" t="str">
        <f aca="false">IF(OR(E5="No",G5="No",I5="No",L5="YES",Q5="Unmatched"),"NEEDS REVIEW","OK")</f>
        <v>OK</v>
      </c>
    </row>
    <row r="6" customFormat="false" ht="15" hidden="false" customHeight="false" outlineLevel="0" collapsed="false">
      <c r="A6" s="4" t="str">
        <f aca="false">Orders_Raw!A6</f>
        <v>ORD00402</v>
      </c>
      <c r="B6" s="4" t="str">
        <f aca="false">TRIM(UPPER(Orders_Raw!B6))</f>
        <v>CUST0001</v>
      </c>
      <c r="C6" s="4" t="str">
        <f aca="false">PROPER(TRIM(Orders_Raw!C6))</f>
        <v>Ola Lawal</v>
      </c>
      <c r="D6" s="6" t="n">
        <f aca="false">IFERROR(DATEVALUE(Orders_Raw!D6),"")</f>
        <v>46111</v>
      </c>
      <c r="E6" s="4" t="str">
        <f aca="false">IF(D6="","No","Yes")</f>
        <v>Yes</v>
      </c>
      <c r="F6" s="4" t="n">
        <f aca="false">IFERROR(VALUE(SUBSTITUTE(SUBSTITUTE(SUBSTITUTE(Orders_Raw!G6,"$",""),"NGN",""),",","")),"")</f>
        <v>1180.96</v>
      </c>
      <c r="G6" s="4" t="str">
        <f aca="false">IF(F6="","No","Yes")</f>
        <v>Yes</v>
      </c>
      <c r="H6" s="4" t="str">
        <f aca="false">Orders_Raw!F6</f>
        <v>4</v>
      </c>
      <c r="I6" s="4" t="str">
        <f aca="false">IF(H6="","No",IF(H6&lt;=0,"No","Yes"))</f>
        <v>Yes</v>
      </c>
      <c r="J6" s="4" t="str">
        <f aca="false">Orders_Raw!E6</f>
        <v>Printer</v>
      </c>
      <c r="K6" s="4" t="str">
        <f aca="false">Orders_Raw!H6</f>
        <v>2026-03-30 12:00</v>
      </c>
      <c r="L6" s="4" t="str">
        <f aca="false">IF(COUNTIF(Orders_Raw!$A$5:$A$539,A6)&gt;1,"YES","No")</f>
        <v>No</v>
      </c>
      <c r="M6" s="4" t="str">
        <f aca="false">IF(COUNTIFS($B$5:$B$539,B6,$D$5:$D$539,D6,$F$5:$F$539,F6)&gt;1,"YES","No")</f>
        <v>No</v>
      </c>
      <c r="N6" s="4" t="str">
        <f aca="false">IFERROR(INDEX(Customer_Master!$B$5:$B$64,MATCH(B6,Customer_Master!$A$5:$A$64,0)),"UNMATCHED")</f>
        <v>Ola Lawal</v>
      </c>
      <c r="O6" s="4" t="str">
        <f aca="false">IFERROR(INDEX(Customer_Master!$C$5:$C$64,MATCH(B6,Customer_Master!$A$5:$A$64,0)),"UNMATCHED")</f>
        <v>Champions</v>
      </c>
      <c r="P6" s="4" t="str">
        <f aca="false">IFERROR(INDEX(Customer_Master!$D$5:$D$64,MATCH(B6,Customer_Master!$A$5:$A$64,0)),"UNMATCHED")</f>
        <v>Ibadan</v>
      </c>
      <c r="Q6" s="4" t="str">
        <f aca="false">IF(N6="UNMATCHED","Unmatched","Matched")</f>
        <v>Matched</v>
      </c>
      <c r="R6" s="4" t="str">
        <f aca="false">IF(OR(E6="No",G6="No",I6="No",L6="YES",Q6="Unmatched"),"NEEDS REVIEW","OK")</f>
        <v>OK</v>
      </c>
    </row>
    <row r="7" customFormat="false" ht="15" hidden="false" customHeight="false" outlineLevel="0" collapsed="false">
      <c r="A7" s="4" t="str">
        <f aca="false">Orders_Raw!A7</f>
        <v>ORD00281</v>
      </c>
      <c r="B7" s="4" t="str">
        <f aca="false">TRIM(UPPER(Orders_Raw!B7))</f>
        <v>CUST0041</v>
      </c>
      <c r="C7" s="4" t="str">
        <f aca="false">PROPER(TRIM(Orders_Raw!C7))</f>
        <v>Kemi Umeh</v>
      </c>
      <c r="D7" s="6" t="n">
        <f aca="false">IFERROR(DATEVALUE(Orders_Raw!D7),"")</f>
        <v>46089</v>
      </c>
      <c r="E7" s="4" t="str">
        <f aca="false">IF(D7="","No","Yes")</f>
        <v>Yes</v>
      </c>
      <c r="F7" s="4" t="n">
        <f aca="false">IFERROR(VALUE(SUBSTITUTE(SUBSTITUTE(SUBSTITUTE(Orders_Raw!G7,"$",""),"NGN",""),",","")),"")</f>
        <v>2278.35</v>
      </c>
      <c r="G7" s="4" t="str">
        <f aca="false">IF(F7="","No","Yes")</f>
        <v>Yes</v>
      </c>
      <c r="H7" s="4" t="str">
        <f aca="false">Orders_Raw!F7</f>
        <v>1</v>
      </c>
      <c r="I7" s="4" t="str">
        <f aca="false">IF(H7="","No",IF(H7&lt;=0,"No","Yes"))</f>
        <v>Yes</v>
      </c>
      <c r="J7" s="4" t="str">
        <f aca="false">Orders_Raw!E7</f>
        <v>Keyboard</v>
      </c>
      <c r="K7" s="4" t="str">
        <f aca="false">Orders_Raw!H7</f>
        <v>2026-03-08 12:33</v>
      </c>
      <c r="L7" s="4" t="str">
        <f aca="false">IF(COUNTIF(Orders_Raw!$A$5:$A$539,A7)&gt;1,"YES","No")</f>
        <v>YES</v>
      </c>
      <c r="M7" s="4" t="str">
        <f aca="false">IF(COUNTIFS($B$5:$B$539,B7,$D$5:$D$539,D7,$F$5:$F$539,F7)&gt;1,"YES","No")</f>
        <v>YES</v>
      </c>
      <c r="N7" s="4" t="str">
        <f aca="false">IFERROR(INDEX(Customer_Master!$B$5:$B$64,MATCH(B7,Customer_Master!$A$5:$A$64,0)),"UNMATCHED")</f>
        <v>Kemi Umeh</v>
      </c>
      <c r="O7" s="4" t="str">
        <f aca="false">IFERROR(INDEX(Customer_Master!$C$5:$C$64,MATCH(B7,Customer_Master!$A$5:$A$64,0)),"UNMATCHED")</f>
        <v>Lost / Low-Value</v>
      </c>
      <c r="P7" s="4" t="str">
        <f aca="false">IFERROR(INDEX(Customer_Master!$D$5:$D$64,MATCH(B7,Customer_Master!$A$5:$A$64,0)),"UNMATCHED")</f>
        <v>Lagos</v>
      </c>
      <c r="Q7" s="4" t="str">
        <f aca="false">IF(N7="UNMATCHED","Unmatched","Matched")</f>
        <v>Matched</v>
      </c>
      <c r="R7" s="4" t="str">
        <f aca="false">IF(OR(E7="No",G7="No",I7="No",L7="YES",Q7="Unmatched"),"NEEDS REVIEW","OK")</f>
        <v>NEEDS REVIEW</v>
      </c>
    </row>
    <row r="8" customFormat="false" ht="15" hidden="false" customHeight="false" outlineLevel="0" collapsed="false">
      <c r="A8" s="4" t="str">
        <f aca="false">Orders_Raw!A8</f>
        <v>ORD00145</v>
      </c>
      <c r="B8" s="4" t="str">
        <f aca="false">TRIM(UPPER(Orders_Raw!B8))</f>
        <v>CUST0003</v>
      </c>
      <c r="C8" s="4" t="str">
        <f aca="false">PROPER(TRIM(Orders_Raw!C8))</f>
        <v>Chidi Adamu</v>
      </c>
      <c r="D8" s="6" t="n">
        <f aca="false">IFERROR(DATEVALUE(Orders_Raw!D8),"")</f>
        <v>46166</v>
      </c>
      <c r="E8" s="4" t="str">
        <f aca="false">IF(D8="","No","Yes")</f>
        <v>Yes</v>
      </c>
      <c r="F8" s="4" t="n">
        <f aca="false">IFERROR(VALUE(SUBSTITUTE(SUBSTITUTE(SUBSTITUTE(Orders_Raw!G8,"$",""),"NGN",""),",","")),"")</f>
        <v>915.87</v>
      </c>
      <c r="G8" s="4" t="str">
        <f aca="false">IF(F8="","No","Yes")</f>
        <v>Yes</v>
      </c>
      <c r="H8" s="4" t="str">
        <f aca="false">Orders_Raw!F8</f>
        <v>1</v>
      </c>
      <c r="I8" s="4" t="str">
        <f aca="false">IF(H8="","No",IF(H8&lt;=0,"No","Yes"))</f>
        <v>Yes</v>
      </c>
      <c r="J8" s="4" t="str">
        <f aca="false">Orders_Raw!E8</f>
        <v>Tablet</v>
      </c>
      <c r="K8" s="4" t="str">
        <f aca="false">Orders_Raw!H8</f>
        <v>2026-05-24 12:52</v>
      </c>
      <c r="L8" s="4" t="str">
        <f aca="false">IF(COUNTIF(Orders_Raw!$A$5:$A$539,A8)&gt;1,"YES","No")</f>
        <v>YES</v>
      </c>
      <c r="M8" s="4" t="str">
        <f aca="false">IF(COUNTIFS($B$5:$B$539,B8,$D$5:$D$539,D8,$F$5:$F$539,F8)&gt;1,"YES","No")</f>
        <v>YES</v>
      </c>
      <c r="N8" s="4" t="str">
        <f aca="false">IFERROR(INDEX(Customer_Master!$B$5:$B$64,MATCH(B8,Customer_Master!$A$5:$A$64,0)),"UNMATCHED")</f>
        <v>Chidi Adamu</v>
      </c>
      <c r="O8" s="4" t="str">
        <f aca="false">IFERROR(INDEX(Customer_Master!$C$5:$C$64,MATCH(B8,Customer_Master!$A$5:$A$64,0)),"UNMATCHED")</f>
        <v>Champions</v>
      </c>
      <c r="P8" s="4" t="str">
        <f aca="false">IFERROR(INDEX(Customer_Master!$D$5:$D$64,MATCH(B8,Customer_Master!$A$5:$A$64,0)),"UNMATCHED")</f>
        <v>Enugu</v>
      </c>
      <c r="Q8" s="4" t="str">
        <f aca="false">IF(N8="UNMATCHED","Unmatched","Matched")</f>
        <v>Matched</v>
      </c>
      <c r="R8" s="4" t="str">
        <f aca="false">IF(OR(E8="No",G8="No",I8="No",L8="YES",Q8="Unmatched"),"NEEDS REVIEW","OK")</f>
        <v>NEEDS REVIEW</v>
      </c>
    </row>
    <row r="9" customFormat="false" ht="15" hidden="false" customHeight="false" outlineLevel="0" collapsed="false">
      <c r="A9" s="4" t="str">
        <f aca="false">Orders_Raw!A9</f>
        <v>ORD00279</v>
      </c>
      <c r="B9" s="4" t="str">
        <f aca="false">TRIM(UPPER(Orders_Raw!B9))</f>
        <v>CUST0060</v>
      </c>
      <c r="C9" s="4" t="str">
        <f aca="false">PROPER(TRIM(Orders_Raw!C9))</f>
        <v>James Umeh</v>
      </c>
      <c r="D9" s="6" t="n">
        <f aca="false">IFERROR(DATEVALUE(Orders_Raw!D9),"")</f>
        <v>46144</v>
      </c>
      <c r="E9" s="4" t="str">
        <f aca="false">IF(D9="","No","Yes")</f>
        <v>Yes</v>
      </c>
      <c r="F9" s="4" t="n">
        <f aca="false">IFERROR(VALUE(SUBSTITUTE(SUBSTITUTE(SUBSTITUTE(Orders_Raw!G9,"$",""),"NGN",""),",","")),"")</f>
        <v>211.2</v>
      </c>
      <c r="G9" s="4" t="str">
        <f aca="false">IF(F9="","No","Yes")</f>
        <v>Yes</v>
      </c>
      <c r="H9" s="4" t="str">
        <f aca="false">Orders_Raw!F9</f>
        <v>3</v>
      </c>
      <c r="I9" s="4" t="str">
        <f aca="false">IF(H9="","No",IF(H9&lt;=0,"No","Yes"))</f>
        <v>Yes</v>
      </c>
      <c r="J9" s="4" t="str">
        <f aca="false">Orders_Raw!E9</f>
        <v>Speaker</v>
      </c>
      <c r="K9" s="4" t="str">
        <f aca="false">Orders_Raw!H9</f>
        <v>2026-05-02 18:39</v>
      </c>
      <c r="L9" s="4" t="str">
        <f aca="false">IF(COUNTIF(Orders_Raw!$A$5:$A$539,A9)&gt;1,"YES","No")</f>
        <v>No</v>
      </c>
      <c r="M9" s="4" t="str">
        <f aca="false">IF(COUNTIFS($B$5:$B$539,B9,$D$5:$D$539,D9,$F$5:$F$539,F9)&gt;1,"YES","No")</f>
        <v>No</v>
      </c>
      <c r="N9" s="4" t="str">
        <f aca="false">IFERROR(INDEX(Customer_Master!$B$5:$B$64,MATCH(B9,Customer_Master!$A$5:$A$64,0)),"UNMATCHED")</f>
        <v>James Umeh</v>
      </c>
      <c r="O9" s="4" t="str">
        <f aca="false">IFERROR(INDEX(Customer_Master!$C$5:$C$64,MATCH(B9,Customer_Master!$A$5:$A$64,0)),"UNMATCHED")</f>
        <v>Champions</v>
      </c>
      <c r="P9" s="4" t="str">
        <f aca="false">IFERROR(INDEX(Customer_Master!$D$5:$D$64,MATCH(B9,Customer_Master!$A$5:$A$64,0)),"UNMATCHED")</f>
        <v>Kano</v>
      </c>
      <c r="Q9" s="4" t="str">
        <f aca="false">IF(N9="UNMATCHED","Unmatched","Matched")</f>
        <v>Matched</v>
      </c>
      <c r="R9" s="4" t="str">
        <f aca="false">IF(OR(E9="No",G9="No",I9="No",L9="YES",Q9="Unmatched"),"NEEDS REVIEW","OK")</f>
        <v>OK</v>
      </c>
    </row>
    <row r="10" customFormat="false" ht="15" hidden="false" customHeight="false" outlineLevel="0" collapsed="false">
      <c r="A10" s="4" t="str">
        <f aca="false">Orders_Raw!A10</f>
        <v>ORD00376</v>
      </c>
      <c r="B10" s="4" t="str">
        <f aca="false">TRIM(UPPER(Orders_Raw!B10))</f>
        <v>CUST0013</v>
      </c>
      <c r="C10" s="4" t="str">
        <f aca="false">PROPER(TRIM(Orders_Raw!C10))</f>
        <v>Joy Lawal</v>
      </c>
      <c r="D10" s="6" t="n">
        <f aca="false">IFERROR(DATEVALUE(Orders_Raw!D10),"")</f>
        <v>46096</v>
      </c>
      <c r="E10" s="4" t="str">
        <f aca="false">IF(D10="","No","Yes")</f>
        <v>Yes</v>
      </c>
      <c r="F10" s="4" t="n">
        <f aca="false">IFERROR(VALUE(SUBSTITUTE(SUBSTITUTE(SUBSTITUTE(Orders_Raw!G10,"$",""),"NGN",""),",","")),"")</f>
        <v>98.52</v>
      </c>
      <c r="G10" s="4" t="str">
        <f aca="false">IF(F10="","No","Yes")</f>
        <v>Yes</v>
      </c>
      <c r="H10" s="4" t="str">
        <f aca="false">Orders_Raw!F10</f>
        <v>3</v>
      </c>
      <c r="I10" s="4" t="str">
        <f aca="false">IF(H10="","No",IF(H10&lt;=0,"No","Yes"))</f>
        <v>Yes</v>
      </c>
      <c r="J10" s="4" t="str">
        <f aca="false">Orders_Raw!E10</f>
        <v>Headphones</v>
      </c>
      <c r="K10" s="4" t="str">
        <f aca="false">Orders_Raw!H10</f>
        <v>2026-03-15 18:02</v>
      </c>
      <c r="L10" s="4" t="str">
        <f aca="false">IF(COUNTIF(Orders_Raw!$A$5:$A$539,A10)&gt;1,"YES","No")</f>
        <v>No</v>
      </c>
      <c r="M10" s="4" t="str">
        <f aca="false">IF(COUNTIFS($B$5:$B$539,B10,$D$5:$D$539,D10,$F$5:$F$539,F10)&gt;1,"YES","No")</f>
        <v>No</v>
      </c>
      <c r="N10" s="4" t="str">
        <f aca="false">IFERROR(INDEX(Customer_Master!$B$5:$B$64,MATCH(B10,Customer_Master!$A$5:$A$64,0)),"UNMATCHED")</f>
        <v>Joy Lawal</v>
      </c>
      <c r="O10" s="4" t="str">
        <f aca="false">IFERROR(INDEX(Customer_Master!$C$5:$C$64,MATCH(B10,Customer_Master!$A$5:$A$64,0)),"UNMATCHED")</f>
        <v>Lost / Low-Value</v>
      </c>
      <c r="P10" s="4" t="str">
        <f aca="false">IFERROR(INDEX(Customer_Master!$D$5:$D$64,MATCH(B10,Customer_Master!$A$5:$A$64,0)),"UNMATCHED")</f>
        <v>Abuja</v>
      </c>
      <c r="Q10" s="4" t="str">
        <f aca="false">IF(N10="UNMATCHED","Unmatched","Matched")</f>
        <v>Matched</v>
      </c>
      <c r="R10" s="4" t="str">
        <f aca="false">IF(OR(E10="No",G10="No",I10="No",L10="YES",Q10="Unmatched"),"NEEDS REVIEW","OK")</f>
        <v>OK</v>
      </c>
    </row>
    <row r="11" customFormat="false" ht="15" hidden="false" customHeight="false" outlineLevel="0" collapsed="false">
      <c r="A11" s="4" t="str">
        <f aca="false">Orders_Raw!A11</f>
        <v>ORD00207</v>
      </c>
      <c r="B11" s="4" t="str">
        <f aca="false">TRIM(UPPER(Orders_Raw!B11))</f>
        <v>CUST0016</v>
      </c>
      <c r="C11" s="4" t="str">
        <f aca="false">PROPER(TRIM(Orders_Raw!C11))</f>
        <v>Chidi Ajayi</v>
      </c>
      <c r="D11" s="6" t="n">
        <f aca="false">IFERROR(DATEVALUE(Orders_Raw!D11),"")</f>
        <v>46065</v>
      </c>
      <c r="E11" s="4" t="str">
        <f aca="false">IF(D11="","No","Yes")</f>
        <v>Yes</v>
      </c>
      <c r="F11" s="4" t="n">
        <f aca="false">IFERROR(VALUE(SUBSTITUTE(SUBSTITUTE(SUBSTITUTE(Orders_Raw!G11,"$",""),"NGN",""),",","")),"")</f>
        <v>125.08</v>
      </c>
      <c r="G11" s="4" t="str">
        <f aca="false">IF(F11="","No","Yes")</f>
        <v>Yes</v>
      </c>
      <c r="H11" s="4" t="str">
        <f aca="false">Orders_Raw!F11</f>
        <v>5</v>
      </c>
      <c r="I11" s="4" t="str">
        <f aca="false">IF(H11="","No",IF(H11&lt;=0,"No","Yes"))</f>
        <v>Yes</v>
      </c>
      <c r="J11" s="4" t="str">
        <f aca="false">Orders_Raw!E11</f>
        <v>Phone</v>
      </c>
      <c r="K11" s="4" t="str">
        <f aca="false">Orders_Raw!H11</f>
        <v>2026-02-12 08:06</v>
      </c>
      <c r="L11" s="4" t="str">
        <f aca="false">IF(COUNTIF(Orders_Raw!$A$5:$A$539,A11)&gt;1,"YES","No")</f>
        <v>No</v>
      </c>
      <c r="M11" s="4" t="str">
        <f aca="false">IF(COUNTIFS($B$5:$B$539,B11,$D$5:$D$539,D11,$F$5:$F$539,F11)&gt;1,"YES","No")</f>
        <v>No</v>
      </c>
      <c r="N11" s="4" t="str">
        <f aca="false">IFERROR(INDEX(Customer_Master!$B$5:$B$64,MATCH(B11,Customer_Master!$A$5:$A$64,0)),"UNMATCHED")</f>
        <v>Chidi Ajayi</v>
      </c>
      <c r="O11" s="4" t="str">
        <f aca="false">IFERROR(INDEX(Customer_Master!$C$5:$C$64,MATCH(B11,Customer_Master!$A$5:$A$64,0)),"UNMATCHED")</f>
        <v>At Risk</v>
      </c>
      <c r="P11" s="4" t="str">
        <f aca="false">IFERROR(INDEX(Customer_Master!$D$5:$D$64,MATCH(B11,Customer_Master!$A$5:$A$64,0)),"UNMATCHED")</f>
        <v>Abuja</v>
      </c>
      <c r="Q11" s="4" t="str">
        <f aca="false">IF(N11="UNMATCHED","Unmatched","Matched")</f>
        <v>Matched</v>
      </c>
      <c r="R11" s="4" t="str">
        <f aca="false">IF(OR(E11="No",G11="No",I11="No",L11="YES",Q11="Unmatched"),"NEEDS REVIEW","OK")</f>
        <v>OK</v>
      </c>
    </row>
    <row r="12" customFormat="false" ht="15" hidden="false" customHeight="false" outlineLevel="0" collapsed="false">
      <c r="A12" s="4" t="str">
        <f aca="false">Orders_Raw!A12</f>
        <v>ORD00196</v>
      </c>
      <c r="B12" s="4" t="str">
        <f aca="false">TRIM(UPPER(Orders_Raw!B12))</f>
        <v>CUST0006</v>
      </c>
      <c r="C12" s="4" t="str">
        <f aca="false">PROPER(TRIM(Orders_Raw!C12))</f>
        <v>Joy Nwosu</v>
      </c>
      <c r="D12" s="6" t="n">
        <f aca="false">IFERROR(DATEVALUE(Orders_Raw!D12),"")</f>
        <v>46145</v>
      </c>
      <c r="E12" s="4" t="str">
        <f aca="false">IF(D12="","No","Yes")</f>
        <v>Yes</v>
      </c>
      <c r="F12" s="4" t="n">
        <f aca="false">IFERROR(VALUE(SUBSTITUTE(SUBSTITUTE(SUBSTITUTE(Orders_Raw!G12,"$",""),"NGN",""),",","")),"")</f>
        <v>218.86</v>
      </c>
      <c r="G12" s="4" t="str">
        <f aca="false">IF(F12="","No","Yes")</f>
        <v>Yes</v>
      </c>
      <c r="H12" s="4" t="str">
        <f aca="false">Orders_Raw!F12</f>
        <v>2</v>
      </c>
      <c r="I12" s="4" t="str">
        <f aca="false">IF(H12="","No",IF(H12&lt;=0,"No","Yes"))</f>
        <v>Yes</v>
      </c>
      <c r="J12" s="4" t="str">
        <f aca="false">Orders_Raw!E12</f>
        <v>Monitor</v>
      </c>
      <c r="K12" s="4" t="str">
        <f aca="false">Orders_Raw!H12</f>
        <v>2026-03-05 13:23</v>
      </c>
      <c r="L12" s="4" t="str">
        <f aca="false">IF(COUNTIF(Orders_Raw!$A$5:$A$539,A12)&gt;1,"YES","No")</f>
        <v>No</v>
      </c>
      <c r="M12" s="4" t="str">
        <f aca="false">IF(COUNTIFS($B$5:$B$539,B12,$D$5:$D$539,D12,$F$5:$F$539,F12)&gt;1,"YES","No")</f>
        <v>No</v>
      </c>
      <c r="N12" s="4" t="str">
        <f aca="false">IFERROR(INDEX(Customer_Master!$B$5:$B$64,MATCH(B12,Customer_Master!$A$5:$A$64,0)),"UNMATCHED")</f>
        <v>Joy Nwosu</v>
      </c>
      <c r="O12" s="4" t="str">
        <f aca="false">IFERROR(INDEX(Customer_Master!$C$5:$C$64,MATCH(B12,Customer_Master!$A$5:$A$64,0)),"UNMATCHED")</f>
        <v>New</v>
      </c>
      <c r="P12" s="4" t="str">
        <f aca="false">IFERROR(INDEX(Customer_Master!$D$5:$D$64,MATCH(B12,Customer_Master!$A$5:$A$64,0)),"UNMATCHED")</f>
        <v>Enugu</v>
      </c>
      <c r="Q12" s="4" t="str">
        <f aca="false">IF(N12="UNMATCHED","Unmatched","Matched")</f>
        <v>Matched</v>
      </c>
      <c r="R12" s="4" t="str">
        <f aca="false">IF(OR(E12="No",G12="No",I12="No",L12="YES",Q12="Unmatched"),"NEEDS REVIEW","OK")</f>
        <v>OK</v>
      </c>
    </row>
    <row r="13" customFormat="false" ht="15" hidden="false" customHeight="false" outlineLevel="0" collapsed="false">
      <c r="A13" s="4" t="str">
        <f aca="false">Orders_Raw!A13</f>
        <v>ORD00153</v>
      </c>
      <c r="B13" s="4" t="str">
        <f aca="false">TRIM(UPPER(Orders_Raw!B13))</f>
        <v>CUST0021</v>
      </c>
      <c r="C13" s="4" t="str">
        <f aca="false">PROPER(TRIM(Orders_Raw!C13))</f>
        <v>Joy Ajayi</v>
      </c>
      <c r="D13" s="6" t="n">
        <f aca="false">IFERROR(DATEVALUE(Orders_Raw!D13),"")</f>
        <v>46159</v>
      </c>
      <c r="E13" s="4" t="str">
        <f aca="false">IF(D13="","No","Yes")</f>
        <v>Yes</v>
      </c>
      <c r="F13" s="4" t="n">
        <f aca="false">IFERROR(VALUE(SUBSTITUTE(SUBSTITUTE(SUBSTITUTE(Orders_Raw!G13,"$",""),"NGN",""),",","")),"")</f>
        <v>1372.49</v>
      </c>
      <c r="G13" s="4" t="str">
        <f aca="false">IF(F13="","No","Yes")</f>
        <v>Yes</v>
      </c>
      <c r="H13" s="4" t="str">
        <f aca="false">Orders_Raw!F13</f>
        <v>3</v>
      </c>
      <c r="I13" s="4" t="str">
        <f aca="false">IF(H13="","No",IF(H13&lt;=0,"No","Yes"))</f>
        <v>Yes</v>
      </c>
      <c r="J13" s="4" t="str">
        <f aca="false">Orders_Raw!E13</f>
        <v>Mouse</v>
      </c>
      <c r="K13" s="4" t="str">
        <f aca="false">Orders_Raw!H13</f>
        <v>2026-05-17 16:19</v>
      </c>
      <c r="L13" s="4" t="str">
        <f aca="false">IF(COUNTIF(Orders_Raw!$A$5:$A$539,A13)&gt;1,"YES","No")</f>
        <v>No</v>
      </c>
      <c r="M13" s="4" t="str">
        <f aca="false">IF(COUNTIFS($B$5:$B$539,B13,$D$5:$D$539,D13,$F$5:$F$539,F13)&gt;1,"YES","No")</f>
        <v>No</v>
      </c>
      <c r="N13" s="4" t="str">
        <f aca="false">IFERROR(INDEX(Customer_Master!$B$5:$B$64,MATCH(B13,Customer_Master!$A$5:$A$64,0)),"UNMATCHED")</f>
        <v>Joy Ajayi</v>
      </c>
      <c r="O13" s="4" t="str">
        <f aca="false">IFERROR(INDEX(Customer_Master!$C$5:$C$64,MATCH(B13,Customer_Master!$A$5:$A$64,0)),"UNMATCHED")</f>
        <v>Loyal</v>
      </c>
      <c r="P13" s="4" t="str">
        <f aca="false">IFERROR(INDEX(Customer_Master!$D$5:$D$64,MATCH(B13,Customer_Master!$A$5:$A$64,0)),"UNMATCHED")</f>
        <v>Kaduna</v>
      </c>
      <c r="Q13" s="4" t="str">
        <f aca="false">IF(N13="UNMATCHED","Unmatched","Matched")</f>
        <v>Matched</v>
      </c>
      <c r="R13" s="4" t="str">
        <f aca="false">IF(OR(E13="No",G13="No",I13="No",L13="YES",Q13="Unmatched"),"NEEDS REVIEW","OK")</f>
        <v>OK</v>
      </c>
    </row>
    <row r="14" customFormat="false" ht="15" hidden="false" customHeight="false" outlineLevel="0" collapsed="false">
      <c r="A14" s="4" t="str">
        <f aca="false">Orders_Raw!A14</f>
        <v>ORD00132</v>
      </c>
      <c r="B14" s="4" t="str">
        <f aca="false">TRIM(UPPER(Orders_Raw!B14))</f>
        <v>CUST0020</v>
      </c>
      <c r="C14" s="4" t="str">
        <f aca="false">PROPER(TRIM(Orders_Raw!C14))</f>
        <v>Mary Okafor</v>
      </c>
      <c r="D14" s="6" t="n">
        <f aca="false">IFERROR(DATEVALUE(Orders_Raw!D14),"")</f>
        <v>46115</v>
      </c>
      <c r="E14" s="4" t="str">
        <f aca="false">IF(D14="","No","Yes")</f>
        <v>Yes</v>
      </c>
      <c r="F14" s="4" t="n">
        <f aca="false">IFERROR(VALUE(SUBSTITUTE(SUBSTITUTE(SUBSTITUTE(Orders_Raw!G14,"$",""),"NGN",""),",","")),"")</f>
        <v>572.24</v>
      </c>
      <c r="G14" s="4" t="str">
        <f aca="false">IF(F14="","No","Yes")</f>
        <v>Yes</v>
      </c>
      <c r="H14" s="4" t="str">
        <f aca="false">Orders_Raw!F14</f>
        <v>5</v>
      </c>
      <c r="I14" s="4" t="str">
        <f aca="false">IF(H14="","No",IF(H14&lt;=0,"No","Yes"))</f>
        <v>Yes</v>
      </c>
      <c r="J14" s="4" t="str">
        <f aca="false">Orders_Raw!E14</f>
        <v>Laptop</v>
      </c>
      <c r="K14" s="4" t="str">
        <f aca="false">Orders_Raw!H14</f>
        <v>2026-04-03 13:35</v>
      </c>
      <c r="L14" s="4" t="str">
        <f aca="false">IF(COUNTIF(Orders_Raw!$A$5:$A$539,A14)&gt;1,"YES","No")</f>
        <v>No</v>
      </c>
      <c r="M14" s="4" t="str">
        <f aca="false">IF(COUNTIFS($B$5:$B$539,B14,$D$5:$D$539,D14,$F$5:$F$539,F14)&gt;1,"YES","No")</f>
        <v>No</v>
      </c>
      <c r="N14" s="4" t="str">
        <f aca="false">IFERROR(INDEX(Customer_Master!$B$5:$B$64,MATCH(B14,Customer_Master!$A$5:$A$64,0)),"UNMATCHED")</f>
        <v>Mary Okafor</v>
      </c>
      <c r="O14" s="4" t="str">
        <f aca="false">IFERROR(INDEX(Customer_Master!$C$5:$C$64,MATCH(B14,Customer_Master!$A$5:$A$64,0)),"UNMATCHED")</f>
        <v>New</v>
      </c>
      <c r="P14" s="4" t="str">
        <f aca="false">IFERROR(INDEX(Customer_Master!$D$5:$D$64,MATCH(B14,Customer_Master!$A$5:$A$64,0)),"UNMATCHED")</f>
        <v>Port Harcourt</v>
      </c>
      <c r="Q14" s="4" t="str">
        <f aca="false">IF(N14="UNMATCHED","Unmatched","Matched")</f>
        <v>Matched</v>
      </c>
      <c r="R14" s="4" t="str">
        <f aca="false">IF(OR(E14="No",G14="No",I14="No",L14="YES",Q14="Unmatched"),"NEEDS REVIEW","OK")</f>
        <v>OK</v>
      </c>
    </row>
    <row r="15" customFormat="false" ht="15" hidden="false" customHeight="false" outlineLevel="0" collapsed="false">
      <c r="A15" s="4" t="str">
        <f aca="false">Orders_Raw!A15</f>
        <v>ORD00024</v>
      </c>
      <c r="B15" s="4" t="str">
        <f aca="false">TRIM(UPPER(Orders_Raw!B15))</f>
        <v>CUST0013</v>
      </c>
      <c r="C15" s="4" t="str">
        <f aca="false">PROPER(TRIM(Orders_Raw!C15))</f>
        <v>Joy Lawal</v>
      </c>
      <c r="D15" s="6" t="n">
        <f aca="false">IFERROR(DATEVALUE(Orders_Raw!D15),"")</f>
        <v>46208</v>
      </c>
      <c r="E15" s="4" t="str">
        <f aca="false">IF(D15="","No","Yes")</f>
        <v>Yes</v>
      </c>
      <c r="F15" s="4" t="n">
        <f aca="false">IFERROR(VALUE(SUBSTITUTE(SUBSTITUTE(SUBSTITUTE(Orders_Raw!G15,"$",""),"NGN",""),",","")),"")</f>
        <v>621.3</v>
      </c>
      <c r="G15" s="4" t="str">
        <f aca="false">IF(F15="","No","Yes")</f>
        <v>Yes</v>
      </c>
      <c r="H15" s="4" t="str">
        <f aca="false">Orders_Raw!F15</f>
        <v>5</v>
      </c>
      <c r="I15" s="4" t="str">
        <f aca="false">IF(H15="","No",IF(H15&lt;=0,"No","Yes"))</f>
        <v>Yes</v>
      </c>
      <c r="J15" s="4" t="str">
        <f aca="false">Orders_Raw!E15</f>
        <v>Monitor</v>
      </c>
      <c r="K15" s="4" t="str">
        <f aca="false">Orders_Raw!H15</f>
        <v>2026-05-07 11:11</v>
      </c>
      <c r="L15" s="4" t="str">
        <f aca="false">IF(COUNTIF(Orders_Raw!$A$5:$A$539,A15)&gt;1,"YES","No")</f>
        <v>No</v>
      </c>
      <c r="M15" s="4" t="str">
        <f aca="false">IF(COUNTIFS($B$5:$B$539,B15,$D$5:$D$539,D15,$F$5:$F$539,F15)&gt;1,"YES","No")</f>
        <v>No</v>
      </c>
      <c r="N15" s="4" t="str">
        <f aca="false">IFERROR(INDEX(Customer_Master!$B$5:$B$64,MATCH(B15,Customer_Master!$A$5:$A$64,0)),"UNMATCHED")</f>
        <v>Joy Lawal</v>
      </c>
      <c r="O15" s="4" t="str">
        <f aca="false">IFERROR(INDEX(Customer_Master!$C$5:$C$64,MATCH(B15,Customer_Master!$A$5:$A$64,0)),"UNMATCHED")</f>
        <v>Lost / Low-Value</v>
      </c>
      <c r="P15" s="4" t="str">
        <f aca="false">IFERROR(INDEX(Customer_Master!$D$5:$D$64,MATCH(B15,Customer_Master!$A$5:$A$64,0)),"UNMATCHED")</f>
        <v>Abuja</v>
      </c>
      <c r="Q15" s="4" t="str">
        <f aca="false">IF(N15="UNMATCHED","Unmatched","Matched")</f>
        <v>Matched</v>
      </c>
      <c r="R15" s="4" t="str">
        <f aca="false">IF(OR(E15="No",G15="No",I15="No",L15="YES",Q15="Unmatched"),"NEEDS REVIEW","OK")</f>
        <v>OK</v>
      </c>
    </row>
    <row r="16" customFormat="false" ht="15" hidden="false" customHeight="false" outlineLevel="0" collapsed="false">
      <c r="A16" s="4" t="str">
        <f aca="false">Orders_Raw!A16</f>
        <v>ORD00503</v>
      </c>
      <c r="B16" s="4" t="str">
        <f aca="false">TRIM(UPPER(Orders_Raw!B16))</f>
        <v>CUST0044</v>
      </c>
      <c r="C16" s="4" t="str">
        <f aca="false">PROPER(TRIM(Orders_Raw!C16))</f>
        <v>Emeka Yakubu</v>
      </c>
      <c r="D16" s="6" t="n">
        <f aca="false">IFERROR(DATEVALUE(Orders_Raw!D16),"")</f>
        <v>46090</v>
      </c>
      <c r="E16" s="4" t="str">
        <f aca="false">IF(D16="","No","Yes")</f>
        <v>Yes</v>
      </c>
      <c r="F16" s="4" t="n">
        <f aca="false">IFERROR(VALUE(SUBSTITUTE(SUBSTITUTE(SUBSTITUTE(Orders_Raw!G16,"$",""),"NGN",""),",","")),"")</f>
        <v>1333.15</v>
      </c>
      <c r="G16" s="4" t="str">
        <f aca="false">IF(F16="","No","Yes")</f>
        <v>Yes</v>
      </c>
      <c r="H16" s="4" t="str">
        <f aca="false">Orders_Raw!F16</f>
        <v>1</v>
      </c>
      <c r="I16" s="4" t="str">
        <f aca="false">IF(H16="","No",IF(H16&lt;=0,"No","Yes"))</f>
        <v>Yes</v>
      </c>
      <c r="J16" s="4" t="str">
        <f aca="false">Orders_Raw!E16</f>
        <v>Monitor</v>
      </c>
      <c r="K16" s="4" t="str">
        <f aca="false">Orders_Raw!H16</f>
        <v>2026-03-09 18:20</v>
      </c>
      <c r="L16" s="4" t="str">
        <f aca="false">IF(COUNTIF(Orders_Raw!$A$5:$A$539,A16)&gt;1,"YES","No")</f>
        <v>No</v>
      </c>
      <c r="M16" s="4" t="str">
        <f aca="false">IF(COUNTIFS($B$5:$B$539,B16,$D$5:$D$539,D16,$F$5:$F$539,F16)&gt;1,"YES","No")</f>
        <v>No</v>
      </c>
      <c r="N16" s="4" t="str">
        <f aca="false">IFERROR(INDEX(Customer_Master!$B$5:$B$64,MATCH(B16,Customer_Master!$A$5:$A$64,0)),"UNMATCHED")</f>
        <v>Emeka Yakubu</v>
      </c>
      <c r="O16" s="4" t="str">
        <f aca="false">IFERROR(INDEX(Customer_Master!$C$5:$C$64,MATCH(B16,Customer_Master!$A$5:$A$64,0)),"UNMATCHED")</f>
        <v>Champions</v>
      </c>
      <c r="P16" s="4" t="str">
        <f aca="false">IFERROR(INDEX(Customer_Master!$D$5:$D$64,MATCH(B16,Customer_Master!$A$5:$A$64,0)),"UNMATCHED")</f>
        <v>Port Harcourt</v>
      </c>
      <c r="Q16" s="4" t="str">
        <f aca="false">IF(N16="UNMATCHED","Unmatched","Matched")</f>
        <v>Matched</v>
      </c>
      <c r="R16" s="4" t="str">
        <f aca="false">IF(OR(E16="No",G16="No",I16="No",L16="YES",Q16="Unmatched"),"NEEDS REVIEW","OK")</f>
        <v>OK</v>
      </c>
    </row>
    <row r="17" customFormat="false" ht="15" hidden="false" customHeight="false" outlineLevel="0" collapsed="false">
      <c r="A17" s="4" t="str">
        <f aca="false">Orders_Raw!A17</f>
        <v>ORD00253</v>
      </c>
      <c r="B17" s="4" t="str">
        <f aca="false">TRIM(UPPER(Orders_Raw!B17))</f>
        <v>CUST0050</v>
      </c>
      <c r="C17" s="4" t="str">
        <f aca="false">PROPER(TRIM(Orders_Raw!C17))</f>
        <v>Ngozi Duru</v>
      </c>
      <c r="D17" s="6" t="n">
        <f aca="false">IFERROR(DATEVALUE(Orders_Raw!D17),"")</f>
        <v>46141</v>
      </c>
      <c r="E17" s="4" t="str">
        <f aca="false">IF(D17="","No","Yes")</f>
        <v>Yes</v>
      </c>
      <c r="F17" s="4" t="n">
        <f aca="false">IFERROR(VALUE(SUBSTITUTE(SUBSTITUTE(SUBSTITUTE(Orders_Raw!G17,"$",""),"NGN",""),",","")),"")</f>
        <v>2133.42</v>
      </c>
      <c r="G17" s="4" t="str">
        <f aca="false">IF(F17="","No","Yes")</f>
        <v>Yes</v>
      </c>
      <c r="H17" s="4" t="str">
        <f aca="false">Orders_Raw!F17</f>
        <v>1</v>
      </c>
      <c r="I17" s="4" t="str">
        <f aca="false">IF(H17="","No",IF(H17&lt;=0,"No","Yes"))</f>
        <v>Yes</v>
      </c>
      <c r="J17" s="4" t="str">
        <f aca="false">Orders_Raw!E17</f>
        <v>Speaker</v>
      </c>
      <c r="K17" s="4" t="str">
        <f aca="false">Orders_Raw!H17</f>
        <v>2026-04-29 08:13</v>
      </c>
      <c r="L17" s="4" t="str">
        <f aca="false">IF(COUNTIF(Orders_Raw!$A$5:$A$539,A17)&gt;1,"YES","No")</f>
        <v>No</v>
      </c>
      <c r="M17" s="4" t="str">
        <f aca="false">IF(COUNTIFS($B$5:$B$539,B17,$D$5:$D$539,D17,$F$5:$F$539,F17)&gt;1,"YES","No")</f>
        <v>No</v>
      </c>
      <c r="N17" s="4" t="str">
        <f aca="false">IFERROR(INDEX(Customer_Master!$B$5:$B$64,MATCH(B17,Customer_Master!$A$5:$A$64,0)),"UNMATCHED")</f>
        <v>Ngozi Duru</v>
      </c>
      <c r="O17" s="4" t="str">
        <f aca="false">IFERROR(INDEX(Customer_Master!$C$5:$C$64,MATCH(B17,Customer_Master!$A$5:$A$64,0)),"UNMATCHED")</f>
        <v>New</v>
      </c>
      <c r="P17" s="4" t="str">
        <f aca="false">IFERROR(INDEX(Customer_Master!$D$5:$D$64,MATCH(B17,Customer_Master!$A$5:$A$64,0)),"UNMATCHED")</f>
        <v>Kano</v>
      </c>
      <c r="Q17" s="4" t="str">
        <f aca="false">IF(N17="UNMATCHED","Unmatched","Matched")</f>
        <v>Matched</v>
      </c>
      <c r="R17" s="4" t="str">
        <f aca="false">IF(OR(E17="No",G17="No",I17="No",L17="YES",Q17="Unmatched"),"NEEDS REVIEW","OK")</f>
        <v>OK</v>
      </c>
    </row>
    <row r="18" customFormat="false" ht="15" hidden="false" customHeight="false" outlineLevel="0" collapsed="false">
      <c r="A18" s="4" t="str">
        <f aca="false">Orders_Raw!A18</f>
        <v>ORD00156</v>
      </c>
      <c r="B18" s="4" t="str">
        <f aca="false">TRIM(UPPER(Orders_Raw!B18))</f>
        <v>CUST0029</v>
      </c>
      <c r="C18" s="4" t="str">
        <f aca="false">PROPER(TRIM(Orders_Raw!C18))</f>
        <v>James Uche</v>
      </c>
      <c r="D18" s="6" t="n">
        <f aca="false">IFERROR(DATEVALUE(Orders_Raw!D18),"")</f>
        <v>46077</v>
      </c>
      <c r="E18" s="4" t="str">
        <f aca="false">IF(D18="","No","Yes")</f>
        <v>Yes</v>
      </c>
      <c r="F18" s="4" t="n">
        <f aca="false">IFERROR(VALUE(SUBSTITUTE(SUBSTITUTE(SUBSTITUTE(Orders_Raw!G18,"$",""),"NGN",""),",","")),"")</f>
        <v>2072.46</v>
      </c>
      <c r="G18" s="4" t="str">
        <f aca="false">IF(F18="","No","Yes")</f>
        <v>Yes</v>
      </c>
      <c r="H18" s="4" t="str">
        <f aca="false">Orders_Raw!F18</f>
        <v>3</v>
      </c>
      <c r="I18" s="4" t="str">
        <f aca="false">IF(H18="","No",IF(H18&lt;=0,"No","Yes"))</f>
        <v>Yes</v>
      </c>
      <c r="J18" s="4" t="str">
        <f aca="false">Orders_Raw!E18</f>
        <v>Speaker</v>
      </c>
      <c r="K18" s="4" t="str">
        <f aca="false">Orders_Raw!H18</f>
        <v>2026-02-24 17:15</v>
      </c>
      <c r="L18" s="4" t="str">
        <f aca="false">IF(COUNTIF(Orders_Raw!$A$5:$A$539,A18)&gt;1,"YES","No")</f>
        <v>No</v>
      </c>
      <c r="M18" s="4" t="str">
        <f aca="false">IF(COUNTIFS($B$5:$B$539,B18,$D$5:$D$539,D18,$F$5:$F$539,F18)&gt;1,"YES","No")</f>
        <v>No</v>
      </c>
      <c r="N18" s="4" t="str">
        <f aca="false">IFERROR(INDEX(Customer_Master!$B$5:$B$64,MATCH(B18,Customer_Master!$A$5:$A$64,0)),"UNMATCHED")</f>
        <v>James Uche</v>
      </c>
      <c r="O18" s="4" t="str">
        <f aca="false">IFERROR(INDEX(Customer_Master!$C$5:$C$64,MATCH(B18,Customer_Master!$A$5:$A$64,0)),"UNMATCHED")</f>
        <v>Lost / Low-Value</v>
      </c>
      <c r="P18" s="4" t="str">
        <f aca="false">IFERROR(INDEX(Customer_Master!$D$5:$D$64,MATCH(B18,Customer_Master!$A$5:$A$64,0)),"UNMATCHED")</f>
        <v>Enugu</v>
      </c>
      <c r="Q18" s="4" t="str">
        <f aca="false">IF(N18="UNMATCHED","Unmatched","Matched")</f>
        <v>Matched</v>
      </c>
      <c r="R18" s="4" t="str">
        <f aca="false">IF(OR(E18="No",G18="No",I18="No",L18="YES",Q18="Unmatched"),"NEEDS REVIEW","OK")</f>
        <v>OK</v>
      </c>
    </row>
    <row r="19" customFormat="false" ht="15" hidden="false" customHeight="false" outlineLevel="0" collapsed="false">
      <c r="A19" s="4" t="str">
        <f aca="false">Orders_Raw!A19</f>
        <v>ORD00072</v>
      </c>
      <c r="B19" s="4" t="str">
        <f aca="false">TRIM(UPPER(Orders_Raw!B19))</f>
        <v>CUST0052</v>
      </c>
      <c r="C19" s="4" t="str">
        <f aca="false">PROPER(TRIM(Orders_Raw!C19))</f>
        <v>Mary Adeyemi</v>
      </c>
      <c r="D19" s="6" t="n">
        <f aca="false">IFERROR(DATEVALUE(Orders_Raw!D19),"")</f>
        <v>46181</v>
      </c>
      <c r="E19" s="4" t="str">
        <f aca="false">IF(D19="","No","Yes")</f>
        <v>Yes</v>
      </c>
      <c r="F19" s="4" t="n">
        <f aca="false">IFERROR(VALUE(SUBSTITUTE(SUBSTITUTE(SUBSTITUTE(Orders_Raw!G19,"$",""),"NGN",""),",","")),"")</f>
        <v>1699.24</v>
      </c>
      <c r="G19" s="4" t="str">
        <f aca="false">IF(F19="","No","Yes")</f>
        <v>Yes</v>
      </c>
      <c r="H19" s="4" t="str">
        <f aca="false">Orders_Raw!F19</f>
        <v>4</v>
      </c>
      <c r="I19" s="4" t="str">
        <f aca="false">IF(H19="","No",IF(H19&lt;=0,"No","Yes"))</f>
        <v>Yes</v>
      </c>
      <c r="J19" s="4" t="str">
        <f aca="false">Orders_Raw!E19</f>
        <v>Laptop</v>
      </c>
      <c r="K19" s="4" t="str">
        <f aca="false">Orders_Raw!H19</f>
        <v>2026-06-08 12:50</v>
      </c>
      <c r="L19" s="4" t="str">
        <f aca="false">IF(COUNTIF(Orders_Raw!$A$5:$A$539,A19)&gt;1,"YES","No")</f>
        <v>No</v>
      </c>
      <c r="M19" s="4" t="str">
        <f aca="false">IF(COUNTIFS($B$5:$B$539,B19,$D$5:$D$539,D19,$F$5:$F$539,F19)&gt;1,"YES","No")</f>
        <v>No</v>
      </c>
      <c r="N19" s="4" t="str">
        <f aca="false">IFERROR(INDEX(Customer_Master!$B$5:$B$64,MATCH(B19,Customer_Master!$A$5:$A$64,0)),"UNMATCHED")</f>
        <v>Mary Adeyemi</v>
      </c>
      <c r="O19" s="4" t="str">
        <f aca="false">IFERROR(INDEX(Customer_Master!$C$5:$C$64,MATCH(B19,Customer_Master!$A$5:$A$64,0)),"UNMATCHED")</f>
        <v>Loyal</v>
      </c>
      <c r="P19" s="4" t="str">
        <f aca="false">IFERROR(INDEX(Customer_Master!$D$5:$D$64,MATCH(B19,Customer_Master!$A$5:$A$64,0)),"UNMATCHED")</f>
        <v>Abuja</v>
      </c>
      <c r="Q19" s="4" t="str">
        <f aca="false">IF(N19="UNMATCHED","Unmatched","Matched")</f>
        <v>Matched</v>
      </c>
      <c r="R19" s="4" t="str">
        <f aca="false">IF(OR(E19="No",G19="No",I19="No",L19="YES",Q19="Unmatched"),"NEEDS REVIEW","OK")</f>
        <v>OK</v>
      </c>
    </row>
    <row r="20" customFormat="false" ht="15" hidden="false" customHeight="false" outlineLevel="0" collapsed="false">
      <c r="A20" s="4" t="str">
        <f aca="false">Orders_Raw!A20</f>
        <v>ORD00486</v>
      </c>
      <c r="B20" s="4" t="str">
        <f aca="false">TRIM(UPPER(Orders_Raw!B20))</f>
        <v>CUST0032</v>
      </c>
      <c r="C20" s="4" t="str">
        <f aca="false">PROPER(TRIM(Orders_Raw!C20))</f>
        <v>Ola Obi</v>
      </c>
      <c r="D20" s="6" t="n">
        <f aca="false">IFERROR(DATEVALUE(Orders_Raw!D20),"")</f>
        <v>46046</v>
      </c>
      <c r="E20" s="4" t="str">
        <f aca="false">IF(D20="","No","Yes")</f>
        <v>Yes</v>
      </c>
      <c r="F20" s="4" t="n">
        <f aca="false">IFERROR(VALUE(SUBSTITUTE(SUBSTITUTE(SUBSTITUTE(Orders_Raw!G20,"$",""),"NGN",""),",","")),"")</f>
        <v>2045.33</v>
      </c>
      <c r="G20" s="4" t="str">
        <f aca="false">IF(F20="","No","Yes")</f>
        <v>Yes</v>
      </c>
      <c r="H20" s="4" t="str">
        <f aca="false">Orders_Raw!F20</f>
        <v>-5</v>
      </c>
      <c r="I20" s="4" t="str">
        <f aca="false">IF(H20="","No",IF(H20&lt;=0,"No","Yes"))</f>
        <v>Yes</v>
      </c>
      <c r="J20" s="4" t="str">
        <f aca="false">Orders_Raw!E20</f>
        <v>Headphones</v>
      </c>
      <c r="K20" s="4" t="str">
        <f aca="false">Orders_Raw!H20</f>
        <v>2026-01-24 18:09</v>
      </c>
      <c r="L20" s="4" t="str">
        <f aca="false">IF(COUNTIF(Orders_Raw!$A$5:$A$539,A20)&gt;1,"YES","No")</f>
        <v>No</v>
      </c>
      <c r="M20" s="4" t="str">
        <f aca="false">IF(COUNTIFS($B$5:$B$539,B20,$D$5:$D$539,D20,$F$5:$F$539,F20)&gt;1,"YES","No")</f>
        <v>No</v>
      </c>
      <c r="N20" s="4" t="str">
        <f aca="false">IFERROR(INDEX(Customer_Master!$B$5:$B$64,MATCH(B20,Customer_Master!$A$5:$A$64,0)),"UNMATCHED")</f>
        <v>Ola Obi</v>
      </c>
      <c r="O20" s="4" t="str">
        <f aca="false">IFERROR(INDEX(Customer_Master!$C$5:$C$64,MATCH(B20,Customer_Master!$A$5:$A$64,0)),"UNMATCHED")</f>
        <v>Lost / Low-Value</v>
      </c>
      <c r="P20" s="4" t="str">
        <f aca="false">IFERROR(INDEX(Customer_Master!$D$5:$D$64,MATCH(B20,Customer_Master!$A$5:$A$64,0)),"UNMATCHED")</f>
        <v>Abuja</v>
      </c>
      <c r="Q20" s="4" t="str">
        <f aca="false">IF(N20="UNMATCHED","Unmatched","Matched")</f>
        <v>Matched</v>
      </c>
      <c r="R20" s="4" t="str">
        <f aca="false">IF(OR(E20="No",G20="No",I20="No",L20="YES",Q20="Unmatched"),"NEEDS REVIEW","OK")</f>
        <v>OK</v>
      </c>
    </row>
    <row r="21" customFormat="false" ht="15" hidden="false" customHeight="false" outlineLevel="0" collapsed="false">
      <c r="A21" s="4" t="str">
        <f aca="false">Orders_Raw!A21</f>
        <v>ORD00016</v>
      </c>
      <c r="B21" s="4" t="str">
        <f aca="false">TRIM(UPPER(Orders_Raw!B21))</f>
        <v>CUST0043</v>
      </c>
      <c r="C21" s="4" t="str">
        <f aca="false">PROPER(TRIM(Orders_Raw!C21))</f>
        <v>Grace Ajayi</v>
      </c>
      <c r="D21" s="6" t="str">
        <f aca="false">IFERROR(DATEVALUE(Orders_Raw!D21),"")</f>
        <v/>
      </c>
      <c r="E21" s="4" t="str">
        <f aca="false">IF(D21="","No","Yes")</f>
        <v>No</v>
      </c>
      <c r="F21" s="4" t="n">
        <f aca="false">IFERROR(VALUE(SUBSTITUTE(SUBSTITUTE(SUBSTITUTE(Orders_Raw!G21,"$",""),"NGN",""),",","")),"")</f>
        <v>2417.72</v>
      </c>
      <c r="G21" s="4" t="str">
        <f aca="false">IF(F21="","No","Yes")</f>
        <v>Yes</v>
      </c>
      <c r="H21" s="4" t="str">
        <f aca="false">Orders_Raw!F21</f>
        <v>2</v>
      </c>
      <c r="I21" s="4" t="str">
        <f aca="false">IF(H21="","No",IF(H21&lt;=0,"No","Yes"))</f>
        <v>Yes</v>
      </c>
      <c r="J21" s="4" t="str">
        <f aca="false">Orders_Raw!E21</f>
        <v>Tablet</v>
      </c>
      <c r="K21" s="4" t="str">
        <f aca="false">Orders_Raw!H21</f>
        <v>2026-03-13 13:01</v>
      </c>
      <c r="L21" s="4" t="str">
        <f aca="false">IF(COUNTIF(Orders_Raw!$A$5:$A$539,A21)&gt;1,"YES","No")</f>
        <v>No</v>
      </c>
      <c r="M21" s="4" t="str">
        <f aca="false">IF(COUNTIFS($B$5:$B$539,B21,$D$5:$D$539,D21,$F$5:$F$539,F21)&gt;1,"YES","No")</f>
        <v>No</v>
      </c>
      <c r="N21" s="4" t="str">
        <f aca="false">IFERROR(INDEX(Customer_Master!$B$5:$B$64,MATCH(B21,Customer_Master!$A$5:$A$64,0)),"UNMATCHED")</f>
        <v>Grace Ajayi</v>
      </c>
      <c r="O21" s="4" t="str">
        <f aca="false">IFERROR(INDEX(Customer_Master!$C$5:$C$64,MATCH(B21,Customer_Master!$A$5:$A$64,0)),"UNMATCHED")</f>
        <v>New</v>
      </c>
      <c r="P21" s="4" t="str">
        <f aca="false">IFERROR(INDEX(Customer_Master!$D$5:$D$64,MATCH(B21,Customer_Master!$A$5:$A$64,0)),"UNMATCHED")</f>
        <v>Abuja</v>
      </c>
      <c r="Q21" s="4" t="str">
        <f aca="false">IF(N21="UNMATCHED","Unmatched","Matched")</f>
        <v>Matched</v>
      </c>
      <c r="R21" s="4" t="str">
        <f aca="false">IF(OR(E21="No",G21="No",I21="No",L21="YES",Q21="Unmatched"),"NEEDS REVIEW","OK")</f>
        <v>NEEDS REVIEW</v>
      </c>
    </row>
    <row r="22" customFormat="false" ht="15" hidden="false" customHeight="false" outlineLevel="0" collapsed="false">
      <c r="A22" s="4" t="str">
        <f aca="false">Orders_Raw!A22</f>
        <v>ORD00374</v>
      </c>
      <c r="B22" s="4" t="str">
        <f aca="false">TRIM(UPPER(Orders_Raw!B22))</f>
        <v>CUST0004</v>
      </c>
      <c r="C22" s="4" t="str">
        <f aca="false">PROPER(TRIM(Orders_Raw!C22))</f>
        <v>Grace Duru</v>
      </c>
      <c r="D22" s="6" t="n">
        <f aca="false">IFERROR(DATEVALUE(Orders_Raw!D22),"")</f>
        <v>46046</v>
      </c>
      <c r="E22" s="4" t="str">
        <f aca="false">IF(D22="","No","Yes")</f>
        <v>Yes</v>
      </c>
      <c r="F22" s="4" t="n">
        <f aca="false">IFERROR(VALUE(SUBSTITUTE(SUBSTITUTE(SUBSTITUTE(Orders_Raw!G22,"$",""),"NGN",""),",","")),"")</f>
        <v>1187.1</v>
      </c>
      <c r="G22" s="4" t="str">
        <f aca="false">IF(F22="","No","Yes")</f>
        <v>Yes</v>
      </c>
      <c r="H22" s="4" t="str">
        <f aca="false">Orders_Raw!F22</f>
        <v>2</v>
      </c>
      <c r="I22" s="4" t="str">
        <f aca="false">IF(H22="","No",IF(H22&lt;=0,"No","Yes"))</f>
        <v>Yes</v>
      </c>
      <c r="J22" s="4" t="str">
        <f aca="false">Orders_Raw!E22</f>
        <v>Keyboard</v>
      </c>
      <c r="K22" s="4" t="str">
        <f aca="false">Orders_Raw!H22</f>
        <v>2026-01-24 09:38</v>
      </c>
      <c r="L22" s="4" t="str">
        <f aca="false">IF(COUNTIF(Orders_Raw!$A$5:$A$539,A22)&gt;1,"YES","No")</f>
        <v>No</v>
      </c>
      <c r="M22" s="4" t="str">
        <f aca="false">IF(COUNTIFS($B$5:$B$539,B22,$D$5:$D$539,D22,$F$5:$F$539,F22)&gt;1,"YES","No")</f>
        <v>No</v>
      </c>
      <c r="N22" s="4" t="str">
        <f aca="false">IFERROR(INDEX(Customer_Master!$B$5:$B$64,MATCH(B22,Customer_Master!$A$5:$A$64,0)),"UNMATCHED")</f>
        <v>Grace Duru</v>
      </c>
      <c r="O22" s="4" t="str">
        <f aca="false">IFERROR(INDEX(Customer_Master!$C$5:$C$64,MATCH(B22,Customer_Master!$A$5:$A$64,0)),"UNMATCHED")</f>
        <v>Champions</v>
      </c>
      <c r="P22" s="4" t="str">
        <f aca="false">IFERROR(INDEX(Customer_Master!$D$5:$D$64,MATCH(B22,Customer_Master!$A$5:$A$64,0)),"UNMATCHED")</f>
        <v>Kano</v>
      </c>
      <c r="Q22" s="4" t="str">
        <f aca="false">IF(N22="UNMATCHED","Unmatched","Matched")</f>
        <v>Matched</v>
      </c>
      <c r="R22" s="4" t="str">
        <f aca="false">IF(OR(E22="No",G22="No",I22="No",L22="YES",Q22="Unmatched"),"NEEDS REVIEW","OK")</f>
        <v>OK</v>
      </c>
    </row>
    <row r="23" customFormat="false" ht="15" hidden="false" customHeight="false" outlineLevel="0" collapsed="false">
      <c r="A23" s="4" t="str">
        <f aca="false">Orders_Raw!A23</f>
        <v>ORD00263</v>
      </c>
      <c r="B23" s="4" t="str">
        <f aca="false">TRIM(UPPER(Orders_Raw!B23))</f>
        <v>CUST0016</v>
      </c>
      <c r="C23" s="4" t="str">
        <f aca="false">PROPER(TRIM(Orders_Raw!C23))</f>
        <v>Chidi Ajayi</v>
      </c>
      <c r="D23" s="6" t="n">
        <f aca="false">IFERROR(DATEVALUE(Orders_Raw!D23),"")</f>
        <v>46028</v>
      </c>
      <c r="E23" s="4" t="str">
        <f aca="false">IF(D23="","No","Yes")</f>
        <v>Yes</v>
      </c>
      <c r="F23" s="4" t="n">
        <f aca="false">IFERROR(VALUE(SUBSTITUTE(SUBSTITUTE(SUBSTITUTE(Orders_Raw!G23,"$",""),"NGN",""),",","")),"")</f>
        <v>1763.08</v>
      </c>
      <c r="G23" s="4" t="str">
        <f aca="false">IF(F23="","No","Yes")</f>
        <v>Yes</v>
      </c>
      <c r="H23" s="4" t="str">
        <f aca="false">Orders_Raw!F23</f>
        <v>3</v>
      </c>
      <c r="I23" s="4" t="str">
        <f aca="false">IF(H23="","No",IF(H23&lt;=0,"No","Yes"))</f>
        <v>Yes</v>
      </c>
      <c r="J23" s="4" t="str">
        <f aca="false">Orders_Raw!E23</f>
        <v>Charger</v>
      </c>
      <c r="K23" s="4" t="str">
        <f aca="false">Orders_Raw!H23</f>
        <v>2026-06-01 15:34</v>
      </c>
      <c r="L23" s="4" t="str">
        <f aca="false">IF(COUNTIF(Orders_Raw!$A$5:$A$539,A23)&gt;1,"YES","No")</f>
        <v>No</v>
      </c>
      <c r="M23" s="4" t="str">
        <f aca="false">IF(COUNTIFS($B$5:$B$539,B23,$D$5:$D$539,D23,$F$5:$F$539,F23)&gt;1,"YES","No")</f>
        <v>No</v>
      </c>
      <c r="N23" s="4" t="str">
        <f aca="false">IFERROR(INDEX(Customer_Master!$B$5:$B$64,MATCH(B23,Customer_Master!$A$5:$A$64,0)),"UNMATCHED")</f>
        <v>Chidi Ajayi</v>
      </c>
      <c r="O23" s="4" t="str">
        <f aca="false">IFERROR(INDEX(Customer_Master!$C$5:$C$64,MATCH(B23,Customer_Master!$A$5:$A$64,0)),"UNMATCHED")</f>
        <v>At Risk</v>
      </c>
      <c r="P23" s="4" t="str">
        <f aca="false">IFERROR(INDEX(Customer_Master!$D$5:$D$64,MATCH(B23,Customer_Master!$A$5:$A$64,0)),"UNMATCHED")</f>
        <v>Abuja</v>
      </c>
      <c r="Q23" s="4" t="str">
        <f aca="false">IF(N23="UNMATCHED","Unmatched","Matched")</f>
        <v>Matched</v>
      </c>
      <c r="R23" s="4" t="str">
        <f aca="false">IF(OR(E23="No",G23="No",I23="No",L23="YES",Q23="Unmatched"),"NEEDS REVIEW","OK")</f>
        <v>OK</v>
      </c>
    </row>
    <row r="24" customFormat="false" ht="15" hidden="false" customHeight="false" outlineLevel="0" collapsed="false">
      <c r="A24" s="4" t="str">
        <f aca="false">Orders_Raw!A24</f>
        <v>ORD00397</v>
      </c>
      <c r="B24" s="4" t="str">
        <f aca="false">TRIM(UPPER(Orders_Raw!B24))</f>
        <v>CUST0017</v>
      </c>
      <c r="C24" s="4" t="str">
        <f aca="false">PROPER(TRIM(Orders_Raw!C24))</f>
        <v>Ibrahim Ajayi</v>
      </c>
      <c r="D24" s="6" t="n">
        <f aca="false">IFERROR(DATEVALUE(Orders_Raw!D24),"")</f>
        <v>46076</v>
      </c>
      <c r="E24" s="4" t="str">
        <f aca="false">IF(D24="","No","Yes")</f>
        <v>Yes</v>
      </c>
      <c r="F24" s="4" t="n">
        <f aca="false">IFERROR(VALUE(SUBSTITUTE(SUBSTITUTE(SUBSTITUTE(Orders_Raw!G24,"$",""),"NGN",""),",","")),"")</f>
        <v>1001.66</v>
      </c>
      <c r="G24" s="4" t="str">
        <f aca="false">IF(F24="","No","Yes")</f>
        <v>Yes</v>
      </c>
      <c r="H24" s="4" t="str">
        <f aca="false">Orders_Raw!F24</f>
        <v>1</v>
      </c>
      <c r="I24" s="4" t="str">
        <f aca="false">IF(H24="","No",IF(H24&lt;=0,"No","Yes"))</f>
        <v>Yes</v>
      </c>
      <c r="J24" s="4" t="str">
        <f aca="false">Orders_Raw!E24</f>
        <v>Laptop</v>
      </c>
      <c r="K24" s="4" t="str">
        <f aca="false">Orders_Raw!H24</f>
        <v>2026-02-23 08:49</v>
      </c>
      <c r="L24" s="4" t="str">
        <f aca="false">IF(COUNTIF(Orders_Raw!$A$5:$A$539,A24)&gt;1,"YES","No")</f>
        <v>No</v>
      </c>
      <c r="M24" s="4" t="str">
        <f aca="false">IF(COUNTIFS($B$5:$B$539,B24,$D$5:$D$539,D24,$F$5:$F$539,F24)&gt;1,"YES","No")</f>
        <v>No</v>
      </c>
      <c r="N24" s="4" t="str">
        <f aca="false">IFERROR(INDEX(Customer_Master!$B$5:$B$64,MATCH(B24,Customer_Master!$A$5:$A$64,0)),"UNMATCHED")</f>
        <v>Ibrahim Ajayi</v>
      </c>
      <c r="O24" s="4" t="str">
        <f aca="false">IFERROR(INDEX(Customer_Master!$C$5:$C$64,MATCH(B24,Customer_Master!$A$5:$A$64,0)),"UNMATCHED")</f>
        <v>Champions</v>
      </c>
      <c r="P24" s="4" t="str">
        <f aca="false">IFERROR(INDEX(Customer_Master!$D$5:$D$64,MATCH(B24,Customer_Master!$A$5:$A$64,0)),"UNMATCHED")</f>
        <v>Enugu</v>
      </c>
      <c r="Q24" s="4" t="str">
        <f aca="false">IF(N24="UNMATCHED","Unmatched","Matched")</f>
        <v>Matched</v>
      </c>
      <c r="R24" s="4" t="str">
        <f aca="false">IF(OR(E24="No",G24="No",I24="No",L24="YES",Q24="Unmatched"),"NEEDS REVIEW","OK")</f>
        <v>OK</v>
      </c>
    </row>
    <row r="25" customFormat="false" ht="15" hidden="false" customHeight="false" outlineLevel="0" collapsed="false">
      <c r="A25" s="4" t="str">
        <f aca="false">Orders_Raw!A25</f>
        <v>ORD00140</v>
      </c>
      <c r="B25" s="4" t="str">
        <f aca="false">TRIM(UPPER(Orders_Raw!B25))</f>
        <v>CUST0031</v>
      </c>
      <c r="C25" s="4" t="str">
        <f aca="false">PROPER(TRIM(Orders_Raw!C25))</f>
        <v>Emeka Adeyemi</v>
      </c>
      <c r="D25" s="6" t="n">
        <f aca="false">IFERROR(DATEVALUE(Orders_Raw!D25),"")</f>
        <v>46178</v>
      </c>
      <c r="E25" s="4" t="str">
        <f aca="false">IF(D25="","No","Yes")</f>
        <v>Yes</v>
      </c>
      <c r="F25" s="4" t="n">
        <f aca="false">IFERROR(VALUE(SUBSTITUTE(SUBSTITUTE(SUBSTITUTE(Orders_Raw!G25,"$",""),"NGN",""),",","")),"")</f>
        <v>791.77</v>
      </c>
      <c r="G25" s="4" t="str">
        <f aca="false">IF(F25="","No","Yes")</f>
        <v>Yes</v>
      </c>
      <c r="H25" s="4" t="str">
        <f aca="false">Orders_Raw!F25</f>
        <v>4</v>
      </c>
      <c r="I25" s="4" t="str">
        <f aca="false">IF(H25="","No",IF(H25&lt;=0,"No","Yes"))</f>
        <v>Yes</v>
      </c>
      <c r="J25" s="4" t="str">
        <f aca="false">Orders_Raw!E25</f>
        <v>Monitor</v>
      </c>
      <c r="K25" s="4" t="str">
        <f aca="false">Orders_Raw!H25</f>
        <v>2026-06-05 10:48</v>
      </c>
      <c r="L25" s="4" t="str">
        <f aca="false">IF(COUNTIF(Orders_Raw!$A$5:$A$539,A25)&gt;1,"YES","No")</f>
        <v>No</v>
      </c>
      <c r="M25" s="4" t="str">
        <f aca="false">IF(COUNTIFS($B$5:$B$539,B25,$D$5:$D$539,D25,$F$5:$F$539,F25)&gt;1,"YES","No")</f>
        <v>No</v>
      </c>
      <c r="N25" s="4" t="str">
        <f aca="false">IFERROR(INDEX(Customer_Master!$B$5:$B$64,MATCH(B25,Customer_Master!$A$5:$A$64,0)),"UNMATCHED")</f>
        <v>Emeka Adeyemi</v>
      </c>
      <c r="O25" s="4" t="str">
        <f aca="false">IFERROR(INDEX(Customer_Master!$C$5:$C$64,MATCH(B25,Customer_Master!$A$5:$A$64,0)),"UNMATCHED")</f>
        <v>Champions</v>
      </c>
      <c r="P25" s="4" t="str">
        <f aca="false">IFERROR(INDEX(Customer_Master!$D$5:$D$64,MATCH(B25,Customer_Master!$A$5:$A$64,0)),"UNMATCHED")</f>
        <v>Port Harcourt</v>
      </c>
      <c r="Q25" s="4" t="str">
        <f aca="false">IF(N25="UNMATCHED","Unmatched","Matched")</f>
        <v>Matched</v>
      </c>
      <c r="R25" s="4" t="str">
        <f aca="false">IF(OR(E25="No",G25="No",I25="No",L25="YES",Q25="Unmatched"),"NEEDS REVIEW","OK")</f>
        <v>OK</v>
      </c>
    </row>
    <row r="26" customFormat="false" ht="15" hidden="false" customHeight="false" outlineLevel="0" collapsed="false">
      <c r="A26" s="4" t="str">
        <f aca="false">Orders_Raw!A26</f>
        <v>ORD00282</v>
      </c>
      <c r="B26" s="4" t="str">
        <f aca="false">TRIM(UPPER(Orders_Raw!B26))</f>
        <v>CUST0030</v>
      </c>
      <c r="C26" s="4" t="str">
        <f aca="false">PROPER(TRIM(Orders_Raw!C26))</f>
        <v>Ifeoma Ajayi</v>
      </c>
      <c r="D26" s="6" t="n">
        <f aca="false">IFERROR(DATEVALUE(Orders_Raw!D26),"")</f>
        <v>46202</v>
      </c>
      <c r="E26" s="4" t="str">
        <f aca="false">IF(D26="","No","Yes")</f>
        <v>Yes</v>
      </c>
      <c r="F26" s="4" t="n">
        <f aca="false">IFERROR(VALUE(SUBSTITUTE(SUBSTITUTE(SUBSTITUTE(Orders_Raw!G26,"$",""),"NGN",""),",","")),"")</f>
        <v>1475.13</v>
      </c>
      <c r="G26" s="4" t="str">
        <f aca="false">IF(F26="","No","Yes")</f>
        <v>Yes</v>
      </c>
      <c r="H26" s="4" t="str">
        <f aca="false">Orders_Raw!F26</f>
        <v>1</v>
      </c>
      <c r="I26" s="4" t="str">
        <f aca="false">IF(H26="","No",IF(H26&lt;=0,"No","Yes"))</f>
        <v>Yes</v>
      </c>
      <c r="J26" s="4" t="str">
        <f aca="false">Orders_Raw!E26</f>
        <v>Speaker</v>
      </c>
      <c r="K26" s="4" t="str">
        <f aca="false">Orders_Raw!H26</f>
        <v>2026-06-29 17:48</v>
      </c>
      <c r="L26" s="4" t="str">
        <f aca="false">IF(COUNTIF(Orders_Raw!$A$5:$A$539,A26)&gt;1,"YES","No")</f>
        <v>No</v>
      </c>
      <c r="M26" s="4" t="str">
        <f aca="false">IF(COUNTIFS($B$5:$B$539,B26,$D$5:$D$539,D26,$F$5:$F$539,F26)&gt;1,"YES","No")</f>
        <v>No</v>
      </c>
      <c r="N26" s="4" t="str">
        <f aca="false">IFERROR(INDEX(Customer_Master!$B$5:$B$64,MATCH(B26,Customer_Master!$A$5:$A$64,0)),"UNMATCHED")</f>
        <v>Ifeoma Ajayi</v>
      </c>
      <c r="O26" s="4" t="str">
        <f aca="false">IFERROR(INDEX(Customer_Master!$C$5:$C$64,MATCH(B26,Customer_Master!$A$5:$A$64,0)),"UNMATCHED")</f>
        <v>Loyal</v>
      </c>
      <c r="P26" s="4" t="str">
        <f aca="false">IFERROR(INDEX(Customer_Master!$D$5:$D$64,MATCH(B26,Customer_Master!$A$5:$A$64,0)),"UNMATCHED")</f>
        <v>Kaduna</v>
      </c>
      <c r="Q26" s="4" t="str">
        <f aca="false">IF(N26="UNMATCHED","Unmatched","Matched")</f>
        <v>Matched</v>
      </c>
      <c r="R26" s="4" t="str">
        <f aca="false">IF(OR(E26="No",G26="No",I26="No",L26="YES",Q26="Unmatched"),"NEEDS REVIEW","OK")</f>
        <v>OK</v>
      </c>
    </row>
    <row r="27" customFormat="false" ht="15" hidden="false" customHeight="false" outlineLevel="0" collapsed="false">
      <c r="A27" s="4" t="str">
        <f aca="false">Orders_Raw!A27</f>
        <v>ORD00180</v>
      </c>
      <c r="B27" s="4" t="str">
        <f aca="false">TRIM(UPPER(Orders_Raw!B27))</f>
        <v>CUST0035</v>
      </c>
      <c r="C27" s="4" t="str">
        <f aca="false">PROPER(TRIM(Orders_Raw!C27))</f>
        <v>Chidi Lawal</v>
      </c>
      <c r="D27" s="6" t="n">
        <f aca="false">IFERROR(DATEVALUE(Orders_Raw!D27),"")</f>
        <v>46036</v>
      </c>
      <c r="E27" s="4" t="str">
        <f aca="false">IF(D27="","No","Yes")</f>
        <v>Yes</v>
      </c>
      <c r="F27" s="4" t="n">
        <f aca="false">IFERROR(VALUE(SUBSTITUTE(SUBSTITUTE(SUBSTITUTE(Orders_Raw!G27,"$",""),"NGN",""),",","")),"")</f>
        <v>952.26</v>
      </c>
      <c r="G27" s="4" t="str">
        <f aca="false">IF(F27="","No","Yes")</f>
        <v>Yes</v>
      </c>
      <c r="H27" s="4" t="str">
        <f aca="false">Orders_Raw!F27</f>
        <v>3</v>
      </c>
      <c r="I27" s="4" t="str">
        <f aca="false">IF(H27="","No",IF(H27&lt;=0,"No","Yes"))</f>
        <v>Yes</v>
      </c>
      <c r="J27" s="4" t="str">
        <f aca="false">Orders_Raw!E27</f>
        <v>Speaker</v>
      </c>
      <c r="K27" s="4" t="str">
        <f aca="false">Orders_Raw!H27</f>
        <v>2026-01-14 18:35</v>
      </c>
      <c r="L27" s="4" t="str">
        <f aca="false">IF(COUNTIF(Orders_Raw!$A$5:$A$539,A27)&gt;1,"YES","No")</f>
        <v>No</v>
      </c>
      <c r="M27" s="4" t="str">
        <f aca="false">IF(COUNTIFS($B$5:$B$539,B27,$D$5:$D$539,D27,$F$5:$F$539,F27)&gt;1,"YES","No")</f>
        <v>No</v>
      </c>
      <c r="N27" s="4" t="str">
        <f aca="false">IFERROR(INDEX(Customer_Master!$B$5:$B$64,MATCH(B27,Customer_Master!$A$5:$A$64,0)),"UNMATCHED")</f>
        <v>Chidi Lawal</v>
      </c>
      <c r="O27" s="4" t="str">
        <f aca="false">IFERROR(INDEX(Customer_Master!$C$5:$C$64,MATCH(B27,Customer_Master!$A$5:$A$64,0)),"UNMATCHED")</f>
        <v>New</v>
      </c>
      <c r="P27" s="4" t="str">
        <f aca="false">IFERROR(INDEX(Customer_Master!$D$5:$D$64,MATCH(B27,Customer_Master!$A$5:$A$64,0)),"UNMATCHED")</f>
        <v>Ibadan</v>
      </c>
      <c r="Q27" s="4" t="str">
        <f aca="false">IF(N27="UNMATCHED","Unmatched","Matched")</f>
        <v>Matched</v>
      </c>
      <c r="R27" s="4" t="str">
        <f aca="false">IF(OR(E27="No",G27="No",I27="No",L27="YES",Q27="Unmatched"),"NEEDS REVIEW","OK")</f>
        <v>OK</v>
      </c>
    </row>
    <row r="28" customFormat="false" ht="15" hidden="false" customHeight="false" outlineLevel="0" collapsed="false">
      <c r="A28" s="4" t="str">
        <f aca="false">Orders_Raw!A28</f>
        <v>ORD00248</v>
      </c>
      <c r="B28" s="4" t="str">
        <f aca="false">TRIM(UPPER(Orders_Raw!B28))</f>
        <v>CUST0051</v>
      </c>
      <c r="C28" s="4" t="str">
        <f aca="false">PROPER(TRIM(Orders_Raw!C28))</f>
        <v>Ahmed Ajayi</v>
      </c>
      <c r="D28" s="6" t="str">
        <f aca="false">IFERROR(DATEVALUE(Orders_Raw!D28),"")</f>
        <v/>
      </c>
      <c r="E28" s="4" t="str">
        <f aca="false">IF(D28="","No","Yes")</f>
        <v>No</v>
      </c>
      <c r="F28" s="4" t="n">
        <f aca="false">IFERROR(VALUE(SUBSTITUTE(SUBSTITUTE(SUBSTITUTE(Orders_Raw!G28,"$",""),"NGN",""),",","")),"")</f>
        <v>594</v>
      </c>
      <c r="G28" s="4" t="str">
        <f aca="false">IF(F28="","No","Yes")</f>
        <v>Yes</v>
      </c>
      <c r="H28" s="4" t="str">
        <f aca="false">Orders_Raw!F28</f>
        <v>4</v>
      </c>
      <c r="I28" s="4" t="str">
        <f aca="false">IF(H28="","No",IF(H28&lt;=0,"No","Yes"))</f>
        <v>Yes</v>
      </c>
      <c r="J28" s="4" t="str">
        <f aca="false">Orders_Raw!E28</f>
        <v>Keyboard</v>
      </c>
      <c r="K28" s="4" t="str">
        <f aca="false">Orders_Raw!H28</f>
        <v>2026-04-15 08:48</v>
      </c>
      <c r="L28" s="4" t="str">
        <f aca="false">IF(COUNTIF(Orders_Raw!$A$5:$A$539,A28)&gt;1,"YES","No")</f>
        <v>No</v>
      </c>
      <c r="M28" s="4" t="str">
        <f aca="false">IF(COUNTIFS($B$5:$B$539,B28,$D$5:$D$539,D28,$F$5:$F$539,F28)&gt;1,"YES","No")</f>
        <v>No</v>
      </c>
      <c r="N28" s="4" t="str">
        <f aca="false">IFERROR(INDEX(Customer_Master!$B$5:$B$64,MATCH(B28,Customer_Master!$A$5:$A$64,0)),"UNMATCHED")</f>
        <v>Ahmed Ajayi</v>
      </c>
      <c r="O28" s="4" t="str">
        <f aca="false">IFERROR(INDEX(Customer_Master!$C$5:$C$64,MATCH(B28,Customer_Master!$A$5:$A$64,0)),"UNMATCHED")</f>
        <v>Champions</v>
      </c>
      <c r="P28" s="4" t="str">
        <f aca="false">IFERROR(INDEX(Customer_Master!$D$5:$D$64,MATCH(B28,Customer_Master!$A$5:$A$64,0)),"UNMATCHED")</f>
        <v>Abuja</v>
      </c>
      <c r="Q28" s="4" t="str">
        <f aca="false">IF(N28="UNMATCHED","Unmatched","Matched")</f>
        <v>Matched</v>
      </c>
      <c r="R28" s="4" t="str">
        <f aca="false">IF(OR(E28="No",G28="No",I28="No",L28="YES",Q28="Unmatched"),"NEEDS REVIEW","OK")</f>
        <v>NEEDS REVIEW</v>
      </c>
    </row>
    <row r="29" customFormat="false" ht="15" hidden="false" customHeight="false" outlineLevel="0" collapsed="false">
      <c r="A29" s="4" t="str">
        <f aca="false">Orders_Raw!A29</f>
        <v>ORD00358</v>
      </c>
      <c r="B29" s="4" t="str">
        <f aca="false">TRIM(UPPER(Orders_Raw!B29))</f>
        <v>CUST0003</v>
      </c>
      <c r="C29" s="4" t="str">
        <f aca="false">PROPER(TRIM(Orders_Raw!C29))</f>
        <v>Chidi Adamu</v>
      </c>
      <c r="D29" s="6" t="n">
        <f aca="false">IFERROR(DATEVALUE(Orders_Raw!D29),"")</f>
        <v>46085</v>
      </c>
      <c r="E29" s="4" t="str">
        <f aca="false">IF(D29="","No","Yes")</f>
        <v>Yes</v>
      </c>
      <c r="F29" s="4" t="n">
        <f aca="false">IFERROR(VALUE(SUBSTITUTE(SUBSTITUTE(SUBSTITUTE(Orders_Raw!G29,"$",""),"NGN",""),",","")),"")</f>
        <v>1182.14</v>
      </c>
      <c r="G29" s="4" t="str">
        <f aca="false">IF(F29="","No","Yes")</f>
        <v>Yes</v>
      </c>
      <c r="H29" s="4" t="str">
        <f aca="false">Orders_Raw!F29</f>
        <v>1</v>
      </c>
      <c r="I29" s="4" t="str">
        <f aca="false">IF(H29="","No",IF(H29&lt;=0,"No","Yes"))</f>
        <v>Yes</v>
      </c>
      <c r="J29" s="4" t="str">
        <f aca="false">Orders_Raw!E29</f>
        <v>Phone</v>
      </c>
      <c r="K29" s="4" t="str">
        <f aca="false">Orders_Raw!H29</f>
        <v>2026-04-03 16:40</v>
      </c>
      <c r="L29" s="4" t="str">
        <f aca="false">IF(COUNTIF(Orders_Raw!$A$5:$A$539,A29)&gt;1,"YES","No")</f>
        <v>No</v>
      </c>
      <c r="M29" s="4" t="str">
        <f aca="false">IF(COUNTIFS($B$5:$B$539,B29,$D$5:$D$539,D29,$F$5:$F$539,F29)&gt;1,"YES","No")</f>
        <v>No</v>
      </c>
      <c r="N29" s="4" t="str">
        <f aca="false">IFERROR(INDEX(Customer_Master!$B$5:$B$64,MATCH(B29,Customer_Master!$A$5:$A$64,0)),"UNMATCHED")</f>
        <v>Chidi Adamu</v>
      </c>
      <c r="O29" s="4" t="str">
        <f aca="false">IFERROR(INDEX(Customer_Master!$C$5:$C$64,MATCH(B29,Customer_Master!$A$5:$A$64,0)),"UNMATCHED")</f>
        <v>Champions</v>
      </c>
      <c r="P29" s="4" t="str">
        <f aca="false">IFERROR(INDEX(Customer_Master!$D$5:$D$64,MATCH(B29,Customer_Master!$A$5:$A$64,0)),"UNMATCHED")</f>
        <v>Enugu</v>
      </c>
      <c r="Q29" s="4" t="str">
        <f aca="false">IF(N29="UNMATCHED","Unmatched","Matched")</f>
        <v>Matched</v>
      </c>
      <c r="R29" s="4" t="str">
        <f aca="false">IF(OR(E29="No",G29="No",I29="No",L29="YES",Q29="Unmatched"),"NEEDS REVIEW","OK")</f>
        <v>OK</v>
      </c>
    </row>
    <row r="30" customFormat="false" ht="15" hidden="false" customHeight="false" outlineLevel="0" collapsed="false">
      <c r="A30" s="4" t="str">
        <f aca="false">Orders_Raw!A30</f>
        <v>ORD00110</v>
      </c>
      <c r="B30" s="4" t="str">
        <f aca="false">TRIM(UPPER(Orders_Raw!B30))</f>
        <v>CUST0050</v>
      </c>
      <c r="C30" s="4" t="str">
        <f aca="false">PROPER(TRIM(Orders_Raw!C30))</f>
        <v>Ngozi Duru</v>
      </c>
      <c r="D30" s="6" t="n">
        <f aca="false">IFERROR(DATEVALUE(Orders_Raw!D30),"")</f>
        <v>46058</v>
      </c>
      <c r="E30" s="4" t="str">
        <f aca="false">IF(D30="","No","Yes")</f>
        <v>Yes</v>
      </c>
      <c r="F30" s="4" t="n">
        <f aca="false">IFERROR(VALUE(SUBSTITUTE(SUBSTITUTE(SUBSTITUTE(Orders_Raw!G30,"$",""),"NGN",""),",","")),"")</f>
        <v>206.76</v>
      </c>
      <c r="G30" s="4" t="str">
        <f aca="false">IF(F30="","No","Yes")</f>
        <v>Yes</v>
      </c>
      <c r="H30" s="4" t="str">
        <f aca="false">Orders_Raw!F30</f>
        <v>3</v>
      </c>
      <c r="I30" s="4" t="str">
        <f aca="false">IF(H30="","No",IF(H30&lt;=0,"No","Yes"))</f>
        <v>Yes</v>
      </c>
      <c r="J30" s="4" t="str">
        <f aca="false">Orders_Raw!E30</f>
        <v>Tablet</v>
      </c>
      <c r="K30" s="4" t="str">
        <f aca="false">Orders_Raw!H30</f>
        <v>2026-02-05 08:42</v>
      </c>
      <c r="L30" s="4" t="str">
        <f aca="false">IF(COUNTIF(Orders_Raw!$A$5:$A$539,A30)&gt;1,"YES","No")</f>
        <v>No</v>
      </c>
      <c r="M30" s="4" t="str">
        <f aca="false">IF(COUNTIFS($B$5:$B$539,B30,$D$5:$D$539,D30,$F$5:$F$539,F30)&gt;1,"YES","No")</f>
        <v>No</v>
      </c>
      <c r="N30" s="4" t="str">
        <f aca="false">IFERROR(INDEX(Customer_Master!$B$5:$B$64,MATCH(B30,Customer_Master!$A$5:$A$64,0)),"UNMATCHED")</f>
        <v>Ngozi Duru</v>
      </c>
      <c r="O30" s="4" t="str">
        <f aca="false">IFERROR(INDEX(Customer_Master!$C$5:$C$64,MATCH(B30,Customer_Master!$A$5:$A$64,0)),"UNMATCHED")</f>
        <v>New</v>
      </c>
      <c r="P30" s="4" t="str">
        <f aca="false">IFERROR(INDEX(Customer_Master!$D$5:$D$64,MATCH(B30,Customer_Master!$A$5:$A$64,0)),"UNMATCHED")</f>
        <v>Kano</v>
      </c>
      <c r="Q30" s="4" t="str">
        <f aca="false">IF(N30="UNMATCHED","Unmatched","Matched")</f>
        <v>Matched</v>
      </c>
      <c r="R30" s="4" t="str">
        <f aca="false">IF(OR(E30="No",G30="No",I30="No",L30="YES",Q30="Unmatched"),"NEEDS REVIEW","OK")</f>
        <v>OK</v>
      </c>
    </row>
    <row r="31" customFormat="false" ht="15" hidden="false" customHeight="false" outlineLevel="0" collapsed="false">
      <c r="A31" s="4" t="str">
        <f aca="false">Orders_Raw!A31</f>
        <v>ORD00158</v>
      </c>
      <c r="B31" s="4" t="str">
        <f aca="false">TRIM(UPPER(Orders_Raw!B31))</f>
        <v>CUST0042</v>
      </c>
      <c r="C31" s="4" t="str">
        <f aca="false">PROPER(TRIM(Orders_Raw!C31))</f>
        <v>Bisi Chukwu</v>
      </c>
      <c r="D31" s="6" t="n">
        <f aca="false">IFERROR(DATEVALUE(Orders_Raw!D31),"")</f>
        <v>46145</v>
      </c>
      <c r="E31" s="4" t="str">
        <f aca="false">IF(D31="","No","Yes")</f>
        <v>Yes</v>
      </c>
      <c r="F31" s="4" t="n">
        <f aca="false">IFERROR(VALUE(SUBSTITUTE(SUBSTITUTE(SUBSTITUTE(Orders_Raw!G31,"$",""),"NGN",""),",","")),"")</f>
        <v>1893.44</v>
      </c>
      <c r="G31" s="4" t="str">
        <f aca="false">IF(F31="","No","Yes")</f>
        <v>Yes</v>
      </c>
      <c r="H31" s="4" t="str">
        <f aca="false">Orders_Raw!F31</f>
        <v>2</v>
      </c>
      <c r="I31" s="4" t="str">
        <f aca="false">IF(H31="","No",IF(H31&lt;=0,"No","Yes"))</f>
        <v>Yes</v>
      </c>
      <c r="J31" s="4" t="str">
        <f aca="false">Orders_Raw!E31</f>
        <v>Phone</v>
      </c>
      <c r="K31" s="4" t="str">
        <f aca="false">Orders_Raw!H31</f>
        <v>2026-05-03 18:36</v>
      </c>
      <c r="L31" s="4" t="str">
        <f aca="false">IF(COUNTIF(Orders_Raw!$A$5:$A$539,A31)&gt;1,"YES","No")</f>
        <v>No</v>
      </c>
      <c r="M31" s="4" t="str">
        <f aca="false">IF(COUNTIFS($B$5:$B$539,B31,$D$5:$D$539,D31,$F$5:$F$539,F31)&gt;1,"YES","No")</f>
        <v>No</v>
      </c>
      <c r="N31" s="4" t="str">
        <f aca="false">IFERROR(INDEX(Customer_Master!$B$5:$B$64,MATCH(B31,Customer_Master!$A$5:$A$64,0)),"UNMATCHED")</f>
        <v>Bisi Chukwu</v>
      </c>
      <c r="O31" s="4" t="str">
        <f aca="false">IFERROR(INDEX(Customer_Master!$C$5:$C$64,MATCH(B31,Customer_Master!$A$5:$A$64,0)),"UNMATCHED")</f>
        <v>At Risk</v>
      </c>
      <c r="P31" s="4" t="str">
        <f aca="false">IFERROR(INDEX(Customer_Master!$D$5:$D$64,MATCH(B31,Customer_Master!$A$5:$A$64,0)),"UNMATCHED")</f>
        <v>Kano</v>
      </c>
      <c r="Q31" s="4" t="str">
        <f aca="false">IF(N31="UNMATCHED","Unmatched","Matched")</f>
        <v>Matched</v>
      </c>
      <c r="R31" s="4" t="str">
        <f aca="false">IF(OR(E31="No",G31="No",I31="No",L31="YES",Q31="Unmatched"),"NEEDS REVIEW","OK")</f>
        <v>OK</v>
      </c>
    </row>
    <row r="32" customFormat="false" ht="15" hidden="false" customHeight="false" outlineLevel="0" collapsed="false">
      <c r="A32" s="4" t="str">
        <f aca="false">Orders_Raw!A32</f>
        <v>ORD00273</v>
      </c>
      <c r="B32" s="4" t="str">
        <f aca="false">TRIM(UPPER(Orders_Raw!B32))</f>
        <v>CUST0040</v>
      </c>
      <c r="C32" s="4" t="str">
        <f aca="false">PROPER(TRIM(Orders_Raw!C32))</f>
        <v>Yusuf Chukwu</v>
      </c>
      <c r="D32" s="6" t="n">
        <f aca="false">IFERROR(DATEVALUE(Orders_Raw!D32),"")</f>
        <v>46133</v>
      </c>
      <c r="E32" s="4" t="str">
        <f aca="false">IF(D32="","No","Yes")</f>
        <v>Yes</v>
      </c>
      <c r="F32" s="4" t="n">
        <f aca="false">IFERROR(VALUE(SUBSTITUTE(SUBSTITUTE(SUBSTITUTE(Orders_Raw!G32,"$",""),"NGN",""),",","")),"")</f>
        <v>1524.18</v>
      </c>
      <c r="G32" s="4" t="str">
        <f aca="false">IF(F32="","No","Yes")</f>
        <v>Yes</v>
      </c>
      <c r="H32" s="4" t="str">
        <f aca="false">Orders_Raw!F32</f>
        <v>1</v>
      </c>
      <c r="I32" s="4" t="str">
        <f aca="false">IF(H32="","No",IF(H32&lt;=0,"No","Yes"))</f>
        <v>Yes</v>
      </c>
      <c r="J32" s="4" t="str">
        <f aca="false">Orders_Raw!E32</f>
        <v>Charger</v>
      </c>
      <c r="K32" s="4" t="str">
        <f aca="false">Orders_Raw!H32</f>
        <v>2026-04-21 14:44</v>
      </c>
      <c r="L32" s="4" t="str">
        <f aca="false">IF(COUNTIF(Orders_Raw!$A$5:$A$539,A32)&gt;1,"YES","No")</f>
        <v>No</v>
      </c>
      <c r="M32" s="4" t="str">
        <f aca="false">IF(COUNTIFS($B$5:$B$539,B32,$D$5:$D$539,D32,$F$5:$F$539,F32)&gt;1,"YES","No")</f>
        <v>No</v>
      </c>
      <c r="N32" s="4" t="str">
        <f aca="false">IFERROR(INDEX(Customer_Master!$B$5:$B$64,MATCH(B32,Customer_Master!$A$5:$A$64,0)),"UNMATCHED")</f>
        <v>Yusuf Chukwu</v>
      </c>
      <c r="O32" s="4" t="str">
        <f aca="false">IFERROR(INDEX(Customer_Master!$C$5:$C$64,MATCH(B32,Customer_Master!$A$5:$A$64,0)),"UNMATCHED")</f>
        <v>Loyal</v>
      </c>
      <c r="P32" s="4" t="str">
        <f aca="false">IFERROR(INDEX(Customer_Master!$D$5:$D$64,MATCH(B32,Customer_Master!$A$5:$A$64,0)),"UNMATCHED")</f>
        <v>Lagos</v>
      </c>
      <c r="Q32" s="4" t="str">
        <f aca="false">IF(N32="UNMATCHED","Unmatched","Matched")</f>
        <v>Matched</v>
      </c>
      <c r="R32" s="4" t="str">
        <f aca="false">IF(OR(E32="No",G32="No",I32="No",L32="YES",Q32="Unmatched"),"NEEDS REVIEW","OK")</f>
        <v>OK</v>
      </c>
    </row>
    <row r="33" customFormat="false" ht="15" hidden="false" customHeight="false" outlineLevel="0" collapsed="false">
      <c r="A33" s="4" t="str">
        <f aca="false">Orders_Raw!A33</f>
        <v>ORD00065</v>
      </c>
      <c r="B33" s="4" t="str">
        <f aca="false">TRIM(UPPER(Orders_Raw!B33))</f>
        <v>CUST0026</v>
      </c>
      <c r="C33" s="4" t="str">
        <f aca="false">PROPER(TRIM(Orders_Raw!C33))</f>
        <v>Amaka Yakubu</v>
      </c>
      <c r="D33" s="6" t="n">
        <f aca="false">IFERROR(DATEVALUE(Orders_Raw!D33),"")</f>
        <v>46195</v>
      </c>
      <c r="E33" s="4" t="str">
        <f aca="false">IF(D33="","No","Yes")</f>
        <v>Yes</v>
      </c>
      <c r="F33" s="4" t="n">
        <f aca="false">IFERROR(VALUE(SUBSTITUTE(SUBSTITUTE(SUBSTITUTE(Orders_Raw!G33,"$",""),"NGN",""),",","")),"")</f>
        <v>959.32</v>
      </c>
      <c r="G33" s="4" t="str">
        <f aca="false">IF(F33="","No","Yes")</f>
        <v>Yes</v>
      </c>
      <c r="H33" s="4" t="str">
        <f aca="false">Orders_Raw!F33</f>
        <v>4</v>
      </c>
      <c r="I33" s="4" t="str">
        <f aca="false">IF(H33="","No",IF(H33&lt;=0,"No","Yes"))</f>
        <v>Yes</v>
      </c>
      <c r="J33" s="4" t="str">
        <f aca="false">Orders_Raw!E33</f>
        <v>Tablet</v>
      </c>
      <c r="K33" s="4" t="str">
        <f aca="false">Orders_Raw!H33</f>
        <v>2026-06-22 08:39</v>
      </c>
      <c r="L33" s="4" t="str">
        <f aca="false">IF(COUNTIF(Orders_Raw!$A$5:$A$539,A33)&gt;1,"YES","No")</f>
        <v>YES</v>
      </c>
      <c r="M33" s="4" t="str">
        <f aca="false">IF(COUNTIFS($B$5:$B$539,B33,$D$5:$D$539,D33,$F$5:$F$539,F33)&gt;1,"YES","No")</f>
        <v>YES</v>
      </c>
      <c r="N33" s="4" t="str">
        <f aca="false">IFERROR(INDEX(Customer_Master!$B$5:$B$64,MATCH(B33,Customer_Master!$A$5:$A$64,0)),"UNMATCHED")</f>
        <v>Amaka Yakubu</v>
      </c>
      <c r="O33" s="4" t="str">
        <f aca="false">IFERROR(INDEX(Customer_Master!$C$5:$C$64,MATCH(B33,Customer_Master!$A$5:$A$64,0)),"UNMATCHED")</f>
        <v>Lost / Low-Value</v>
      </c>
      <c r="P33" s="4" t="str">
        <f aca="false">IFERROR(INDEX(Customer_Master!$D$5:$D$64,MATCH(B33,Customer_Master!$A$5:$A$64,0)),"UNMATCHED")</f>
        <v>Kaduna</v>
      </c>
      <c r="Q33" s="4" t="str">
        <f aca="false">IF(N33="UNMATCHED","Unmatched","Matched")</f>
        <v>Matched</v>
      </c>
      <c r="R33" s="4" t="str">
        <f aca="false">IF(OR(E33="No",G33="No",I33="No",L33="YES",Q33="Unmatched"),"NEEDS REVIEW","OK")</f>
        <v>NEEDS REVIEW</v>
      </c>
    </row>
    <row r="34" customFormat="false" ht="15" hidden="false" customHeight="false" outlineLevel="0" collapsed="false">
      <c r="A34" s="4" t="str">
        <f aca="false">Orders_Raw!A34</f>
        <v>ORD00240</v>
      </c>
      <c r="B34" s="4" t="str">
        <f aca="false">TRIM(UPPER(Orders_Raw!B34))</f>
        <v>CUST0006</v>
      </c>
      <c r="C34" s="4" t="str">
        <f aca="false">PROPER(TRIM(Orders_Raw!C34))</f>
        <v>Joy Nwosu</v>
      </c>
      <c r="D34" s="6" t="n">
        <f aca="false">IFERROR(DATEVALUE(Orders_Raw!D34),"")</f>
        <v>46139</v>
      </c>
      <c r="E34" s="4" t="str">
        <f aca="false">IF(D34="","No","Yes")</f>
        <v>Yes</v>
      </c>
      <c r="F34" s="4" t="n">
        <f aca="false">IFERROR(VALUE(SUBSTITUTE(SUBSTITUTE(SUBSTITUTE(Orders_Raw!G34,"$",""),"NGN",""),",","")),"")</f>
        <v>1527.95</v>
      </c>
      <c r="G34" s="4" t="str">
        <f aca="false">IF(F34="","No","Yes")</f>
        <v>Yes</v>
      </c>
      <c r="H34" s="4" t="str">
        <f aca="false">Orders_Raw!F34</f>
        <v>4</v>
      </c>
      <c r="I34" s="4" t="str">
        <f aca="false">IF(H34="","No",IF(H34&lt;=0,"No","Yes"))</f>
        <v>Yes</v>
      </c>
      <c r="J34" s="4" t="str">
        <f aca="false">Orders_Raw!E34</f>
        <v>Phone</v>
      </c>
      <c r="K34" s="4" t="str">
        <f aca="false">Orders_Raw!H34</f>
        <v>2026-04-27 08:45</v>
      </c>
      <c r="L34" s="4" t="str">
        <f aca="false">IF(COUNTIF(Orders_Raw!$A$5:$A$539,A34)&gt;1,"YES","No")</f>
        <v>No</v>
      </c>
      <c r="M34" s="4" t="str">
        <f aca="false">IF(COUNTIFS($B$5:$B$539,B34,$D$5:$D$539,D34,$F$5:$F$539,F34)&gt;1,"YES","No")</f>
        <v>No</v>
      </c>
      <c r="N34" s="4" t="str">
        <f aca="false">IFERROR(INDEX(Customer_Master!$B$5:$B$64,MATCH(B34,Customer_Master!$A$5:$A$64,0)),"UNMATCHED")</f>
        <v>Joy Nwosu</v>
      </c>
      <c r="O34" s="4" t="str">
        <f aca="false">IFERROR(INDEX(Customer_Master!$C$5:$C$64,MATCH(B34,Customer_Master!$A$5:$A$64,0)),"UNMATCHED")</f>
        <v>New</v>
      </c>
      <c r="P34" s="4" t="str">
        <f aca="false">IFERROR(INDEX(Customer_Master!$D$5:$D$64,MATCH(B34,Customer_Master!$A$5:$A$64,0)),"UNMATCHED")</f>
        <v>Enugu</v>
      </c>
      <c r="Q34" s="4" t="str">
        <f aca="false">IF(N34="UNMATCHED","Unmatched","Matched")</f>
        <v>Matched</v>
      </c>
      <c r="R34" s="4" t="str">
        <f aca="false">IF(OR(E34="No",G34="No",I34="No",L34="YES",Q34="Unmatched"),"NEEDS REVIEW","OK")</f>
        <v>OK</v>
      </c>
    </row>
    <row r="35" customFormat="false" ht="15" hidden="false" customHeight="false" outlineLevel="0" collapsed="false">
      <c r="A35" s="4" t="str">
        <f aca="false">Orders_Raw!A35</f>
        <v>ORD00064</v>
      </c>
      <c r="B35" s="4" t="str">
        <f aca="false">TRIM(UPPER(Orders_Raw!B35))</f>
        <v>CUST0034</v>
      </c>
      <c r="C35" s="4" t="str">
        <f aca="false">PROPER(TRIM(Orders_Raw!C35))</f>
        <v>Samuel Sani</v>
      </c>
      <c r="D35" s="6" t="n">
        <f aca="false">IFERROR(DATEVALUE(Orders_Raw!D35),"")</f>
        <v>46207</v>
      </c>
      <c r="E35" s="4" t="str">
        <f aca="false">IF(D35="","No","Yes")</f>
        <v>Yes</v>
      </c>
      <c r="F35" s="4" t="n">
        <f aca="false">IFERROR(VALUE(SUBSTITUTE(SUBSTITUTE(SUBSTITUTE(Orders_Raw!G35,"$",""),"NGN",""),",","")),"")</f>
        <v>1033.8</v>
      </c>
      <c r="G35" s="4" t="str">
        <f aca="false">IF(F35="","No","Yes")</f>
        <v>Yes</v>
      </c>
      <c r="H35" s="4" t="str">
        <f aca="false">Orders_Raw!F35</f>
        <v>1</v>
      </c>
      <c r="I35" s="4" t="str">
        <f aca="false">IF(H35="","No",IF(H35&lt;=0,"No","Yes"))</f>
        <v>Yes</v>
      </c>
      <c r="J35" s="4" t="str">
        <f aca="false">Orders_Raw!E35</f>
        <v>Keyboard</v>
      </c>
      <c r="K35" s="4" t="str">
        <f aca="false">Orders_Raw!H35</f>
        <v>2026-07-04 17:44</v>
      </c>
      <c r="L35" s="4" t="str">
        <f aca="false">IF(COUNTIF(Orders_Raw!$A$5:$A$539,A35)&gt;1,"YES","No")</f>
        <v>No</v>
      </c>
      <c r="M35" s="4" t="str">
        <f aca="false">IF(COUNTIFS($B$5:$B$539,B35,$D$5:$D$539,D35,$F$5:$F$539,F35)&gt;1,"YES","No")</f>
        <v>No</v>
      </c>
      <c r="N35" s="4" t="str">
        <f aca="false">IFERROR(INDEX(Customer_Master!$B$5:$B$64,MATCH(B35,Customer_Master!$A$5:$A$64,0)),"UNMATCHED")</f>
        <v>Samuel Sani</v>
      </c>
      <c r="O35" s="4" t="str">
        <f aca="false">IFERROR(INDEX(Customer_Master!$C$5:$C$64,MATCH(B35,Customer_Master!$A$5:$A$64,0)),"UNMATCHED")</f>
        <v>New</v>
      </c>
      <c r="P35" s="4" t="str">
        <f aca="false">IFERROR(INDEX(Customer_Master!$D$5:$D$64,MATCH(B35,Customer_Master!$A$5:$A$64,0)),"UNMATCHED")</f>
        <v>Lagos</v>
      </c>
      <c r="Q35" s="4" t="str">
        <f aca="false">IF(N35="UNMATCHED","Unmatched","Matched")</f>
        <v>Matched</v>
      </c>
      <c r="R35" s="4" t="str">
        <f aca="false">IF(OR(E35="No",G35="No",I35="No",L35="YES",Q35="Unmatched"),"NEEDS REVIEW","OK")</f>
        <v>OK</v>
      </c>
    </row>
    <row r="36" customFormat="false" ht="15" hidden="false" customHeight="false" outlineLevel="0" collapsed="false">
      <c r="A36" s="4" t="str">
        <f aca="false">Orders_Raw!A36</f>
        <v>ORD00308</v>
      </c>
      <c r="B36" s="4" t="str">
        <f aca="false">TRIM(UPPER(Orders_Raw!B36))</f>
        <v>CUST0043</v>
      </c>
      <c r="C36" s="4" t="str">
        <f aca="false">PROPER(TRIM(Orders_Raw!C36))</f>
        <v>Grace Ajayi</v>
      </c>
      <c r="D36" s="6" t="n">
        <f aca="false">IFERROR(DATEVALUE(Orders_Raw!D36),"")</f>
        <v>46178</v>
      </c>
      <c r="E36" s="4" t="str">
        <f aca="false">IF(D36="","No","Yes")</f>
        <v>Yes</v>
      </c>
      <c r="F36" s="4" t="n">
        <f aca="false">IFERROR(VALUE(SUBSTITUTE(SUBSTITUTE(SUBSTITUTE(Orders_Raw!G36,"$",""),"NGN",""),",","")),"")</f>
        <v>1055.78</v>
      </c>
      <c r="G36" s="4" t="str">
        <f aca="false">IF(F36="","No","Yes")</f>
        <v>Yes</v>
      </c>
      <c r="H36" s="4" t="str">
        <f aca="false">Orders_Raw!F36</f>
        <v>3</v>
      </c>
      <c r="I36" s="4" t="str">
        <f aca="false">IF(H36="","No",IF(H36&lt;=0,"No","Yes"))</f>
        <v>Yes</v>
      </c>
      <c r="J36" s="4" t="str">
        <f aca="false">Orders_Raw!E36</f>
        <v>Phone</v>
      </c>
      <c r="K36" s="4" t="str">
        <f aca="false">Orders_Raw!H36</f>
        <v>2026-06-05 09:31</v>
      </c>
      <c r="L36" s="4" t="str">
        <f aca="false">IF(COUNTIF(Orders_Raw!$A$5:$A$539,A36)&gt;1,"YES","No")</f>
        <v>No</v>
      </c>
      <c r="M36" s="4" t="str">
        <f aca="false">IF(COUNTIFS($B$5:$B$539,B36,$D$5:$D$539,D36,$F$5:$F$539,F36)&gt;1,"YES","No")</f>
        <v>No</v>
      </c>
      <c r="N36" s="4" t="str">
        <f aca="false">IFERROR(INDEX(Customer_Master!$B$5:$B$64,MATCH(B36,Customer_Master!$A$5:$A$64,0)),"UNMATCHED")</f>
        <v>Grace Ajayi</v>
      </c>
      <c r="O36" s="4" t="str">
        <f aca="false">IFERROR(INDEX(Customer_Master!$C$5:$C$64,MATCH(B36,Customer_Master!$A$5:$A$64,0)),"UNMATCHED")</f>
        <v>New</v>
      </c>
      <c r="P36" s="4" t="str">
        <f aca="false">IFERROR(INDEX(Customer_Master!$D$5:$D$64,MATCH(B36,Customer_Master!$A$5:$A$64,0)),"UNMATCHED")</f>
        <v>Abuja</v>
      </c>
      <c r="Q36" s="4" t="str">
        <f aca="false">IF(N36="UNMATCHED","Unmatched","Matched")</f>
        <v>Matched</v>
      </c>
      <c r="R36" s="4" t="str">
        <f aca="false">IF(OR(E36="No",G36="No",I36="No",L36="YES",Q36="Unmatched"),"NEEDS REVIEW","OK")</f>
        <v>OK</v>
      </c>
    </row>
    <row r="37" customFormat="false" ht="15" hidden="false" customHeight="false" outlineLevel="0" collapsed="false">
      <c r="A37" s="4" t="str">
        <f aca="false">Orders_Raw!A37</f>
        <v>ORD00098</v>
      </c>
      <c r="B37" s="4" t="str">
        <f aca="false">TRIM(UPPER(Orders_Raw!B37))</f>
        <v>CUST0056</v>
      </c>
      <c r="C37" s="4" t="str">
        <f aca="false">PROPER(TRIM(Orders_Raw!C37))</f>
        <v>Tunde Yakubu</v>
      </c>
      <c r="D37" s="6" t="n">
        <f aca="false">IFERROR(DATEVALUE(Orders_Raw!D37),"")</f>
        <v>46143</v>
      </c>
      <c r="E37" s="4" t="str">
        <f aca="false">IF(D37="","No","Yes")</f>
        <v>Yes</v>
      </c>
      <c r="F37" s="4" t="n">
        <f aca="false">IFERROR(VALUE(SUBSTITUTE(SUBSTITUTE(SUBSTITUTE(Orders_Raw!G37,"$",""),"NGN",""),",","")),"")</f>
        <v>2304.09</v>
      </c>
      <c r="G37" s="4" t="str">
        <f aca="false">IF(F37="","No","Yes")</f>
        <v>Yes</v>
      </c>
      <c r="H37" s="4" t="str">
        <f aca="false">Orders_Raw!F37</f>
        <v>3</v>
      </c>
      <c r="I37" s="4" t="str">
        <f aca="false">IF(H37="","No",IF(H37&lt;=0,"No","Yes"))</f>
        <v>Yes</v>
      </c>
      <c r="J37" s="4" t="str">
        <f aca="false">Orders_Raw!E37</f>
        <v>Monitor</v>
      </c>
      <c r="K37" s="4" t="str">
        <f aca="false">Orders_Raw!H37</f>
        <v>2026-01-05 12:07</v>
      </c>
      <c r="L37" s="4" t="str">
        <f aca="false">IF(COUNTIF(Orders_Raw!$A$5:$A$539,A37)&gt;1,"YES","No")</f>
        <v>No</v>
      </c>
      <c r="M37" s="4" t="str">
        <f aca="false">IF(COUNTIFS($B$5:$B$539,B37,$D$5:$D$539,D37,$F$5:$F$539,F37)&gt;1,"YES","No")</f>
        <v>No</v>
      </c>
      <c r="N37" s="4" t="str">
        <f aca="false">IFERROR(INDEX(Customer_Master!$B$5:$B$64,MATCH(B37,Customer_Master!$A$5:$A$64,0)),"UNMATCHED")</f>
        <v>Tunde Yakubu</v>
      </c>
      <c r="O37" s="4" t="str">
        <f aca="false">IFERROR(INDEX(Customer_Master!$C$5:$C$64,MATCH(B37,Customer_Master!$A$5:$A$64,0)),"UNMATCHED")</f>
        <v>Lost / Low-Value</v>
      </c>
      <c r="P37" s="4" t="str">
        <f aca="false">IFERROR(INDEX(Customer_Master!$D$5:$D$64,MATCH(B37,Customer_Master!$A$5:$A$64,0)),"UNMATCHED")</f>
        <v>Kano</v>
      </c>
      <c r="Q37" s="4" t="str">
        <f aca="false">IF(N37="UNMATCHED","Unmatched","Matched")</f>
        <v>Matched</v>
      </c>
      <c r="R37" s="4" t="str">
        <f aca="false">IF(OR(E37="No",G37="No",I37="No",L37="YES",Q37="Unmatched"),"NEEDS REVIEW","OK")</f>
        <v>OK</v>
      </c>
    </row>
    <row r="38" customFormat="false" ht="15" hidden="false" customHeight="false" outlineLevel="0" collapsed="false">
      <c r="A38" s="4" t="str">
        <f aca="false">Orders_Raw!A38</f>
        <v>ORD00375</v>
      </c>
      <c r="B38" s="4" t="str">
        <f aca="false">TRIM(UPPER(Orders_Raw!B38))</f>
        <v>CUST0003</v>
      </c>
      <c r="C38" s="4" t="str">
        <f aca="false">PROPER(TRIM(Orders_Raw!C38))</f>
        <v>Chidi Adamu</v>
      </c>
      <c r="D38" s="6" t="n">
        <f aca="false">IFERROR(DATEVALUE(Orders_Raw!D38),"")</f>
        <v>46180</v>
      </c>
      <c r="E38" s="4" t="str">
        <f aca="false">IF(D38="","No","Yes")</f>
        <v>Yes</v>
      </c>
      <c r="F38" s="4" t="n">
        <f aca="false">IFERROR(VALUE(SUBSTITUTE(SUBSTITUTE(SUBSTITUTE(Orders_Raw!G38,"$",""),"NGN",""),",","")),"")</f>
        <v>726.88</v>
      </c>
      <c r="G38" s="4" t="str">
        <f aca="false">IF(F38="","No","Yes")</f>
        <v>Yes</v>
      </c>
      <c r="H38" s="4" t="str">
        <f aca="false">Orders_Raw!F38</f>
        <v>1</v>
      </c>
      <c r="I38" s="4" t="str">
        <f aca="false">IF(H38="","No",IF(H38&lt;=0,"No","Yes"))</f>
        <v>Yes</v>
      </c>
      <c r="J38" s="4" t="str">
        <f aca="false">Orders_Raw!E38</f>
        <v>Printer</v>
      </c>
      <c r="K38" s="4" t="str">
        <f aca="false">Orders_Raw!H38</f>
        <v>2026-06-07 15:00</v>
      </c>
      <c r="L38" s="4" t="str">
        <f aca="false">IF(COUNTIF(Orders_Raw!$A$5:$A$539,A38)&gt;1,"YES","No")</f>
        <v>No</v>
      </c>
      <c r="M38" s="4" t="str">
        <f aca="false">IF(COUNTIFS($B$5:$B$539,B38,$D$5:$D$539,D38,$F$5:$F$539,F38)&gt;1,"YES","No")</f>
        <v>No</v>
      </c>
      <c r="N38" s="4" t="str">
        <f aca="false">IFERROR(INDEX(Customer_Master!$B$5:$B$64,MATCH(B38,Customer_Master!$A$5:$A$64,0)),"UNMATCHED")</f>
        <v>Chidi Adamu</v>
      </c>
      <c r="O38" s="4" t="str">
        <f aca="false">IFERROR(INDEX(Customer_Master!$C$5:$C$64,MATCH(B38,Customer_Master!$A$5:$A$64,0)),"UNMATCHED")</f>
        <v>Champions</v>
      </c>
      <c r="P38" s="4" t="str">
        <f aca="false">IFERROR(INDEX(Customer_Master!$D$5:$D$64,MATCH(B38,Customer_Master!$A$5:$A$64,0)),"UNMATCHED")</f>
        <v>Enugu</v>
      </c>
      <c r="Q38" s="4" t="str">
        <f aca="false">IF(N38="UNMATCHED","Unmatched","Matched")</f>
        <v>Matched</v>
      </c>
      <c r="R38" s="4" t="str">
        <f aca="false">IF(OR(E38="No",G38="No",I38="No",L38="YES",Q38="Unmatched"),"NEEDS REVIEW","OK")</f>
        <v>OK</v>
      </c>
    </row>
    <row r="39" customFormat="false" ht="15" hidden="false" customHeight="false" outlineLevel="0" collapsed="false">
      <c r="A39" s="4" t="str">
        <f aca="false">Orders_Raw!A39</f>
        <v>ORD00005</v>
      </c>
      <c r="B39" s="4" t="str">
        <f aca="false">TRIM(UPPER(Orders_Raw!B39))</f>
        <v>CUST0006</v>
      </c>
      <c r="C39" s="4" t="str">
        <f aca="false">PROPER(TRIM(Orders_Raw!C39))</f>
        <v>Joy Nwosu</v>
      </c>
      <c r="D39" s="6" t="n">
        <f aca="false">IFERROR(DATEVALUE(Orders_Raw!D39),"")</f>
        <v>46059</v>
      </c>
      <c r="E39" s="4" t="str">
        <f aca="false">IF(D39="","No","Yes")</f>
        <v>Yes</v>
      </c>
      <c r="F39" s="4" t="n">
        <f aca="false">IFERROR(VALUE(SUBSTITUTE(SUBSTITUTE(SUBSTITUTE(Orders_Raw!G39,"$",""),"NGN",""),",","")),"")</f>
        <v>1692.9</v>
      </c>
      <c r="G39" s="4" t="str">
        <f aca="false">IF(F39="","No","Yes")</f>
        <v>Yes</v>
      </c>
      <c r="H39" s="4" t="str">
        <f aca="false">Orders_Raw!F39</f>
        <v>2</v>
      </c>
      <c r="I39" s="4" t="str">
        <f aca="false">IF(H39="","No",IF(H39&lt;=0,"No","Yes"))</f>
        <v>Yes</v>
      </c>
      <c r="J39" s="4" t="str">
        <f aca="false">Orders_Raw!E39</f>
        <v>Charger</v>
      </c>
      <c r="K39" s="4" t="str">
        <f aca="false">Orders_Raw!H39</f>
        <v>2026-06-02 17:38</v>
      </c>
      <c r="L39" s="4" t="str">
        <f aca="false">IF(COUNTIF(Orders_Raw!$A$5:$A$539,A39)&gt;1,"YES","No")</f>
        <v>No</v>
      </c>
      <c r="M39" s="4" t="str">
        <f aca="false">IF(COUNTIFS($B$5:$B$539,B39,$D$5:$D$539,D39,$F$5:$F$539,F39)&gt;1,"YES","No")</f>
        <v>No</v>
      </c>
      <c r="N39" s="4" t="str">
        <f aca="false">IFERROR(INDEX(Customer_Master!$B$5:$B$64,MATCH(B39,Customer_Master!$A$5:$A$64,0)),"UNMATCHED")</f>
        <v>Joy Nwosu</v>
      </c>
      <c r="O39" s="4" t="str">
        <f aca="false">IFERROR(INDEX(Customer_Master!$C$5:$C$64,MATCH(B39,Customer_Master!$A$5:$A$64,0)),"UNMATCHED")</f>
        <v>New</v>
      </c>
      <c r="P39" s="4" t="str">
        <f aca="false">IFERROR(INDEX(Customer_Master!$D$5:$D$64,MATCH(B39,Customer_Master!$A$5:$A$64,0)),"UNMATCHED")</f>
        <v>Enugu</v>
      </c>
      <c r="Q39" s="4" t="str">
        <f aca="false">IF(N39="UNMATCHED","Unmatched","Matched")</f>
        <v>Matched</v>
      </c>
      <c r="R39" s="4" t="str">
        <f aca="false">IF(OR(E39="No",G39="No",I39="No",L39="YES",Q39="Unmatched"),"NEEDS REVIEW","OK")</f>
        <v>OK</v>
      </c>
    </row>
    <row r="40" customFormat="false" ht="15" hidden="false" customHeight="false" outlineLevel="0" collapsed="false">
      <c r="A40" s="4" t="str">
        <f aca="false">Orders_Raw!A40</f>
        <v>ORD00022</v>
      </c>
      <c r="B40" s="4" t="str">
        <f aca="false">TRIM(UPPER(Orders_Raw!B40))</f>
        <v>CUST0033</v>
      </c>
      <c r="C40" s="4" t="str">
        <f aca="false">PROPER(TRIM(Orders_Raw!C40))</f>
        <v>Musa Abubakar</v>
      </c>
      <c r="D40" s="6" t="str">
        <f aca="false">IFERROR(DATEVALUE(Orders_Raw!D40),"")</f>
        <v/>
      </c>
      <c r="E40" s="4" t="str">
        <f aca="false">IF(D40="","No","Yes")</f>
        <v>No</v>
      </c>
      <c r="F40" s="4" t="n">
        <f aca="false">IFERROR(VALUE(SUBSTITUTE(SUBSTITUTE(SUBSTITUTE(Orders_Raw!G40,"$",""),"NGN",""),",","")),"")</f>
        <v>720.21</v>
      </c>
      <c r="G40" s="4" t="str">
        <f aca="false">IF(F40="","No","Yes")</f>
        <v>Yes</v>
      </c>
      <c r="H40" s="4" t="str">
        <f aca="false">Orders_Raw!F40</f>
        <v>2</v>
      </c>
      <c r="I40" s="4" t="str">
        <f aca="false">IF(H40="","No",IF(H40&lt;=0,"No","Yes"))</f>
        <v>Yes</v>
      </c>
      <c r="J40" s="4" t="str">
        <f aca="false">Orders_Raw!E40</f>
        <v>Charger</v>
      </c>
      <c r="K40" s="4" t="str">
        <f aca="false">Orders_Raw!H40</f>
        <v>2026-06-18 18:19</v>
      </c>
      <c r="L40" s="4" t="str">
        <f aca="false">IF(COUNTIF(Orders_Raw!$A$5:$A$539,A40)&gt;1,"YES","No")</f>
        <v>No</v>
      </c>
      <c r="M40" s="4" t="str">
        <f aca="false">IF(COUNTIFS($B$5:$B$539,B40,$D$5:$D$539,D40,$F$5:$F$539,F40)&gt;1,"YES","No")</f>
        <v>No</v>
      </c>
      <c r="N40" s="4" t="str">
        <f aca="false">IFERROR(INDEX(Customer_Master!$B$5:$B$64,MATCH(B40,Customer_Master!$A$5:$A$64,0)),"UNMATCHED")</f>
        <v>Musa Abubakar</v>
      </c>
      <c r="O40" s="4" t="str">
        <f aca="false">IFERROR(INDEX(Customer_Master!$C$5:$C$64,MATCH(B40,Customer_Master!$A$5:$A$64,0)),"UNMATCHED")</f>
        <v>New</v>
      </c>
      <c r="P40" s="4" t="str">
        <f aca="false">IFERROR(INDEX(Customer_Master!$D$5:$D$64,MATCH(B40,Customer_Master!$A$5:$A$64,0)),"UNMATCHED")</f>
        <v>Kaduna</v>
      </c>
      <c r="Q40" s="4" t="str">
        <f aca="false">IF(N40="UNMATCHED","Unmatched","Matched")</f>
        <v>Matched</v>
      </c>
      <c r="R40" s="4" t="str">
        <f aca="false">IF(OR(E40="No",G40="No",I40="No",L40="YES",Q40="Unmatched"),"NEEDS REVIEW","OK")</f>
        <v>NEEDS REVIEW</v>
      </c>
    </row>
    <row r="41" customFormat="false" ht="15" hidden="false" customHeight="false" outlineLevel="0" collapsed="false">
      <c r="A41" s="4" t="str">
        <f aca="false">Orders_Raw!A41</f>
        <v>ORD00185</v>
      </c>
      <c r="B41" s="4" t="str">
        <f aca="false">TRIM(UPPER(Orders_Raw!B41))</f>
        <v>CUST0053</v>
      </c>
      <c r="C41" s="4" t="str">
        <f aca="false">PROPER(TRIM(Orders_Raw!C41))</f>
        <v>Comfort Adeyemi</v>
      </c>
      <c r="D41" s="6" t="n">
        <f aca="false">IFERROR(DATEVALUE(Orders_Raw!D41),"")</f>
        <v>46140</v>
      </c>
      <c r="E41" s="4" t="str">
        <f aca="false">IF(D41="","No","Yes")</f>
        <v>Yes</v>
      </c>
      <c r="F41" s="4" t="n">
        <f aca="false">IFERROR(VALUE(SUBSTITUTE(SUBSTITUTE(SUBSTITUTE(Orders_Raw!G41,"$",""),"NGN",""),",","")),"")</f>
        <v>1835.94</v>
      </c>
      <c r="G41" s="4" t="str">
        <f aca="false">IF(F41="","No","Yes")</f>
        <v>Yes</v>
      </c>
      <c r="H41" s="4" t="str">
        <f aca="false">Orders_Raw!F41</f>
        <v>1</v>
      </c>
      <c r="I41" s="4" t="str">
        <f aca="false">IF(H41="","No",IF(H41&lt;=0,"No","Yes"))</f>
        <v>Yes</v>
      </c>
      <c r="J41" s="4" t="str">
        <f aca="false">Orders_Raw!E41</f>
        <v>Headphones</v>
      </c>
      <c r="K41" s="4" t="str">
        <f aca="false">Orders_Raw!H41</f>
        <v>2026-04-28 16:41</v>
      </c>
      <c r="L41" s="4" t="str">
        <f aca="false">IF(COUNTIF(Orders_Raw!$A$5:$A$539,A41)&gt;1,"YES","No")</f>
        <v>No</v>
      </c>
      <c r="M41" s="4" t="str">
        <f aca="false">IF(COUNTIFS($B$5:$B$539,B41,$D$5:$D$539,D41,$F$5:$F$539,F41)&gt;1,"YES","No")</f>
        <v>No</v>
      </c>
      <c r="N41" s="4" t="str">
        <f aca="false">IFERROR(INDEX(Customer_Master!$B$5:$B$64,MATCH(B41,Customer_Master!$A$5:$A$64,0)),"UNMATCHED")</f>
        <v>Comfort Adeyemi</v>
      </c>
      <c r="O41" s="4" t="str">
        <f aca="false">IFERROR(INDEX(Customer_Master!$C$5:$C$64,MATCH(B41,Customer_Master!$A$5:$A$64,0)),"UNMATCHED")</f>
        <v>At Risk</v>
      </c>
      <c r="P41" s="4" t="str">
        <f aca="false">IFERROR(INDEX(Customer_Master!$D$5:$D$64,MATCH(B41,Customer_Master!$A$5:$A$64,0)),"UNMATCHED")</f>
        <v>Abuja</v>
      </c>
      <c r="Q41" s="4" t="str">
        <f aca="false">IF(N41="UNMATCHED","Unmatched","Matched")</f>
        <v>Matched</v>
      </c>
      <c r="R41" s="4" t="str">
        <f aca="false">IF(OR(E41="No",G41="No",I41="No",L41="YES",Q41="Unmatched"),"NEEDS REVIEW","OK")</f>
        <v>OK</v>
      </c>
    </row>
    <row r="42" customFormat="false" ht="15" hidden="false" customHeight="false" outlineLevel="0" collapsed="false">
      <c r="A42" s="4" t="str">
        <f aca="false">Orders_Raw!A42</f>
        <v>ORD00387</v>
      </c>
      <c r="B42" s="4" t="str">
        <f aca="false">TRIM(UPPER(Orders_Raw!B42))</f>
        <v>CUST0045</v>
      </c>
      <c r="C42" s="4" t="str">
        <f aca="false">PROPER(TRIM(Orders_Raw!C42))</f>
        <v>Yusuf Yakubu</v>
      </c>
      <c r="D42" s="6" t="str">
        <f aca="false">IFERROR(DATEVALUE(Orders_Raw!D42),"")</f>
        <v/>
      </c>
      <c r="E42" s="4" t="str">
        <f aca="false">IF(D42="","No","Yes")</f>
        <v>No</v>
      </c>
      <c r="F42" s="4" t="n">
        <f aca="false">IFERROR(VALUE(SUBSTITUTE(SUBSTITUTE(SUBSTITUTE(Orders_Raw!G42,"$",""),"NGN",""),",","")),"")</f>
        <v>44.37</v>
      </c>
      <c r="G42" s="4" t="str">
        <f aca="false">IF(F42="","No","Yes")</f>
        <v>Yes</v>
      </c>
      <c r="H42" s="4" t="str">
        <f aca="false">Orders_Raw!F42</f>
        <v>2</v>
      </c>
      <c r="I42" s="4" t="str">
        <f aca="false">IF(H42="","No",IF(H42&lt;=0,"No","Yes"))</f>
        <v>Yes</v>
      </c>
      <c r="J42" s="4" t="str">
        <f aca="false">Orders_Raw!E42</f>
        <v>Speaker</v>
      </c>
      <c r="K42" s="4" t="str">
        <f aca="false">Orders_Raw!H42</f>
        <v>2026-06-26 12:11</v>
      </c>
      <c r="L42" s="4" t="str">
        <f aca="false">IF(COUNTIF(Orders_Raw!$A$5:$A$539,A42)&gt;1,"YES","No")</f>
        <v>No</v>
      </c>
      <c r="M42" s="4" t="str">
        <f aca="false">IF(COUNTIFS($B$5:$B$539,B42,$D$5:$D$539,D42,$F$5:$F$539,F42)&gt;1,"YES","No")</f>
        <v>No</v>
      </c>
      <c r="N42" s="4" t="str">
        <f aca="false">IFERROR(INDEX(Customer_Master!$B$5:$B$64,MATCH(B42,Customer_Master!$A$5:$A$64,0)),"UNMATCHED")</f>
        <v>Yusuf Yakubu</v>
      </c>
      <c r="O42" s="4" t="str">
        <f aca="false">IFERROR(INDEX(Customer_Master!$C$5:$C$64,MATCH(B42,Customer_Master!$A$5:$A$64,0)),"UNMATCHED")</f>
        <v>New</v>
      </c>
      <c r="P42" s="4" t="str">
        <f aca="false">IFERROR(INDEX(Customer_Master!$D$5:$D$64,MATCH(B42,Customer_Master!$A$5:$A$64,0)),"UNMATCHED")</f>
        <v>Port Harcourt</v>
      </c>
      <c r="Q42" s="4" t="str">
        <f aca="false">IF(N42="UNMATCHED","Unmatched","Matched")</f>
        <v>Matched</v>
      </c>
      <c r="R42" s="4" t="str">
        <f aca="false">IF(OR(E42="No",G42="No",I42="No",L42="YES",Q42="Unmatched"),"NEEDS REVIEW","OK")</f>
        <v>NEEDS REVIEW</v>
      </c>
    </row>
    <row r="43" customFormat="false" ht="15" hidden="false" customHeight="false" outlineLevel="0" collapsed="false">
      <c r="A43" s="4" t="str">
        <f aca="false">Orders_Raw!A43</f>
        <v>ORD00382</v>
      </c>
      <c r="B43" s="4" t="str">
        <f aca="false">TRIM(UPPER(Orders_Raw!B43))</f>
        <v>CUST0023</v>
      </c>
      <c r="C43" s="4" t="str">
        <f aca="false">PROPER(TRIM(Orders_Raw!C43))</f>
        <v>Chidi Umeh</v>
      </c>
      <c r="D43" s="6" t="n">
        <f aca="false">IFERROR(DATEVALUE(Orders_Raw!D43),"")</f>
        <v>46202</v>
      </c>
      <c r="E43" s="4" t="str">
        <f aca="false">IF(D43="","No","Yes")</f>
        <v>Yes</v>
      </c>
      <c r="F43" s="4" t="n">
        <f aca="false">IFERROR(VALUE(SUBSTITUTE(SUBSTITUTE(SUBSTITUTE(Orders_Raw!G43,"$",""),"NGN",""),",","")),"")</f>
        <v>631.92</v>
      </c>
      <c r="G43" s="4" t="str">
        <f aca="false">IF(F43="","No","Yes")</f>
        <v>Yes</v>
      </c>
      <c r="H43" s="4" t="str">
        <f aca="false">Orders_Raw!F43</f>
        <v>2</v>
      </c>
      <c r="I43" s="4" t="str">
        <f aca="false">IF(H43="","No",IF(H43&lt;=0,"No","Yes"))</f>
        <v>Yes</v>
      </c>
      <c r="J43" s="4" t="str">
        <f aca="false">Orders_Raw!E43</f>
        <v>Phone</v>
      </c>
      <c r="K43" s="4" t="str">
        <f aca="false">Orders_Raw!H43</f>
        <v>2026-06-29 16:59</v>
      </c>
      <c r="L43" s="4" t="str">
        <f aca="false">IF(COUNTIF(Orders_Raw!$A$5:$A$539,A43)&gt;1,"YES","No")</f>
        <v>No</v>
      </c>
      <c r="M43" s="4" t="str">
        <f aca="false">IF(COUNTIFS($B$5:$B$539,B43,$D$5:$D$539,D43,$F$5:$F$539,F43)&gt;1,"YES","No")</f>
        <v>No</v>
      </c>
      <c r="N43" s="4" t="str">
        <f aca="false">IFERROR(INDEX(Customer_Master!$B$5:$B$64,MATCH(B43,Customer_Master!$A$5:$A$64,0)),"UNMATCHED")</f>
        <v>Chidi Umeh</v>
      </c>
      <c r="O43" s="4" t="str">
        <f aca="false">IFERROR(INDEX(Customer_Master!$C$5:$C$64,MATCH(B43,Customer_Master!$A$5:$A$64,0)),"UNMATCHED")</f>
        <v>Champions</v>
      </c>
      <c r="P43" s="4" t="str">
        <f aca="false">IFERROR(INDEX(Customer_Master!$D$5:$D$64,MATCH(B43,Customer_Master!$A$5:$A$64,0)),"UNMATCHED")</f>
        <v>Kano</v>
      </c>
      <c r="Q43" s="4" t="str">
        <f aca="false">IF(N43="UNMATCHED","Unmatched","Matched")</f>
        <v>Matched</v>
      </c>
      <c r="R43" s="4" t="str">
        <f aca="false">IF(OR(E43="No",G43="No",I43="No",L43="YES",Q43="Unmatched"),"NEEDS REVIEW","OK")</f>
        <v>OK</v>
      </c>
    </row>
    <row r="44" customFormat="false" ht="15" hidden="false" customHeight="false" outlineLevel="0" collapsed="false">
      <c r="A44" s="4" t="str">
        <f aca="false">Orders_Raw!A44</f>
        <v>ORD00131</v>
      </c>
      <c r="B44" s="4" t="str">
        <f aca="false">TRIM(UPPER(Orders_Raw!B44))</f>
        <v>CUST0009</v>
      </c>
      <c r="C44" s="4" t="str">
        <f aca="false">PROPER(TRIM(Orders_Raw!C44))</f>
        <v>Ngozi Sani</v>
      </c>
      <c r="D44" s="6" t="str">
        <f aca="false">IFERROR(DATEVALUE(Orders_Raw!D44),"")</f>
        <v/>
      </c>
      <c r="E44" s="4" t="str">
        <f aca="false">IF(D44="","No","Yes")</f>
        <v>No</v>
      </c>
      <c r="F44" s="4" t="n">
        <f aca="false">IFERROR(VALUE(SUBSTITUTE(SUBSTITUTE(SUBSTITUTE(Orders_Raw!G44,"$",""),"NGN",""),",","")),"")</f>
        <v>2493.2</v>
      </c>
      <c r="G44" s="4" t="str">
        <f aca="false">IF(F44="","No","Yes")</f>
        <v>Yes</v>
      </c>
      <c r="H44" s="4" t="str">
        <f aca="false">Orders_Raw!F44</f>
        <v>4</v>
      </c>
      <c r="I44" s="4" t="str">
        <f aca="false">IF(H44="","No",IF(H44&lt;=0,"No","Yes"))</f>
        <v>Yes</v>
      </c>
      <c r="J44" s="4" t="str">
        <f aca="false">Orders_Raw!E44</f>
        <v>Tablet</v>
      </c>
      <c r="K44" s="4" t="str">
        <f aca="false">Orders_Raw!H44</f>
        <v>2026-02-14 12:57</v>
      </c>
      <c r="L44" s="4" t="str">
        <f aca="false">IF(COUNTIF(Orders_Raw!$A$5:$A$539,A44)&gt;1,"YES","No")</f>
        <v>No</v>
      </c>
      <c r="M44" s="4" t="str">
        <f aca="false">IF(COUNTIFS($B$5:$B$539,B44,$D$5:$D$539,D44,$F$5:$F$539,F44)&gt;1,"YES","No")</f>
        <v>No</v>
      </c>
      <c r="N44" s="4" t="str">
        <f aca="false">IFERROR(INDEX(Customer_Master!$B$5:$B$64,MATCH(B44,Customer_Master!$A$5:$A$64,0)),"UNMATCHED")</f>
        <v>Ngozi Sani</v>
      </c>
      <c r="O44" s="4" t="str">
        <f aca="false">IFERROR(INDEX(Customer_Master!$C$5:$C$64,MATCH(B44,Customer_Master!$A$5:$A$64,0)),"UNMATCHED")</f>
        <v>Loyal</v>
      </c>
      <c r="P44" s="4" t="str">
        <f aca="false">IFERROR(INDEX(Customer_Master!$D$5:$D$64,MATCH(B44,Customer_Master!$A$5:$A$64,0)),"UNMATCHED")</f>
        <v>Kano</v>
      </c>
      <c r="Q44" s="4" t="str">
        <f aca="false">IF(N44="UNMATCHED","Unmatched","Matched")</f>
        <v>Matched</v>
      </c>
      <c r="R44" s="4" t="str">
        <f aca="false">IF(OR(E44="No",G44="No",I44="No",L44="YES",Q44="Unmatched"),"NEEDS REVIEW","OK")</f>
        <v>NEEDS REVIEW</v>
      </c>
    </row>
    <row r="45" customFormat="false" ht="15" hidden="false" customHeight="false" outlineLevel="0" collapsed="false">
      <c r="A45" s="4" t="str">
        <f aca="false">Orders_Raw!A45</f>
        <v>ORD00010</v>
      </c>
      <c r="B45" s="4" t="str">
        <f aca="false">TRIM(UPPER(Orders_Raw!B45))</f>
        <v>CUST0019</v>
      </c>
      <c r="C45" s="4" t="str">
        <f aca="false">PROPER(TRIM(Orders_Raw!C45))</f>
        <v>Ifeoma Chukwu</v>
      </c>
      <c r="D45" s="6" t="n">
        <f aca="false">IFERROR(DATEVALUE(Orders_Raw!D45),"")</f>
        <v>46075</v>
      </c>
      <c r="E45" s="4" t="str">
        <f aca="false">IF(D45="","No","Yes")</f>
        <v>Yes</v>
      </c>
      <c r="F45" s="4" t="n">
        <f aca="false">IFERROR(VALUE(SUBSTITUTE(SUBSTITUTE(SUBSTITUTE(Orders_Raw!G45,"$",""),"NGN",""),",","")),"")</f>
        <v>1270.94</v>
      </c>
      <c r="G45" s="4" t="str">
        <f aca="false">IF(F45="","No","Yes")</f>
        <v>Yes</v>
      </c>
      <c r="H45" s="4" t="str">
        <f aca="false">Orders_Raw!F45</f>
        <v>5</v>
      </c>
      <c r="I45" s="4" t="str">
        <f aca="false">IF(H45="","No",IF(H45&lt;=0,"No","Yes"))</f>
        <v>Yes</v>
      </c>
      <c r="J45" s="4" t="str">
        <f aca="false">Orders_Raw!E45</f>
        <v>Mouse</v>
      </c>
      <c r="K45" s="4" t="str">
        <f aca="false">Orders_Raw!H45</f>
        <v>2026-02-22 08:00</v>
      </c>
      <c r="L45" s="4" t="str">
        <f aca="false">IF(COUNTIF(Orders_Raw!$A$5:$A$539,A45)&gt;1,"YES","No")</f>
        <v>No</v>
      </c>
      <c r="M45" s="4" t="str">
        <f aca="false">IF(COUNTIFS($B$5:$B$539,B45,$D$5:$D$539,D45,$F$5:$F$539,F45)&gt;1,"YES","No")</f>
        <v>No</v>
      </c>
      <c r="N45" s="4" t="str">
        <f aca="false">IFERROR(INDEX(Customer_Master!$B$5:$B$64,MATCH(B45,Customer_Master!$A$5:$A$64,0)),"UNMATCHED")</f>
        <v>Ifeoma Chukwu</v>
      </c>
      <c r="O45" s="4" t="str">
        <f aca="false">IFERROR(INDEX(Customer_Master!$C$5:$C$64,MATCH(B45,Customer_Master!$A$5:$A$64,0)),"UNMATCHED")</f>
        <v>Loyal</v>
      </c>
      <c r="P45" s="4" t="str">
        <f aca="false">IFERROR(INDEX(Customer_Master!$D$5:$D$64,MATCH(B45,Customer_Master!$A$5:$A$64,0)),"UNMATCHED")</f>
        <v>Ibadan</v>
      </c>
      <c r="Q45" s="4" t="str">
        <f aca="false">IF(N45="UNMATCHED","Unmatched","Matched")</f>
        <v>Matched</v>
      </c>
      <c r="R45" s="4" t="str">
        <f aca="false">IF(OR(E45="No",G45="No",I45="No",L45="YES",Q45="Unmatched"),"NEEDS REVIEW","OK")</f>
        <v>OK</v>
      </c>
    </row>
    <row r="46" customFormat="false" ht="15" hidden="false" customHeight="false" outlineLevel="0" collapsed="false">
      <c r="A46" s="4" t="str">
        <f aca="false">Orders_Raw!A46</f>
        <v>ORD00271</v>
      </c>
      <c r="B46" s="4" t="str">
        <f aca="false">TRIM(UPPER(Orders_Raw!B46))</f>
        <v>CUST0057</v>
      </c>
      <c r="C46" s="4" t="str">
        <f aca="false">PROPER(TRIM(Orders_Raw!C46))</f>
        <v>Bisi Lawal</v>
      </c>
      <c r="D46" s="6" t="n">
        <f aca="false">IFERROR(DATEVALUE(Orders_Raw!D46),"")</f>
        <v>46207</v>
      </c>
      <c r="E46" s="4" t="str">
        <f aca="false">IF(D46="","No","Yes")</f>
        <v>Yes</v>
      </c>
      <c r="F46" s="4" t="n">
        <f aca="false">IFERROR(VALUE(SUBSTITUTE(SUBSTITUTE(SUBSTITUTE(Orders_Raw!G46,"$",""),"NGN",""),",","")),"")</f>
        <v>2074.59</v>
      </c>
      <c r="G46" s="4" t="str">
        <f aca="false">IF(F46="","No","Yes")</f>
        <v>Yes</v>
      </c>
      <c r="H46" s="4" t="str">
        <f aca="false">Orders_Raw!F46</f>
        <v>4</v>
      </c>
      <c r="I46" s="4" t="str">
        <f aca="false">IF(H46="","No",IF(H46&lt;=0,"No","Yes"))</f>
        <v>Yes</v>
      </c>
      <c r="J46" s="4" t="str">
        <f aca="false">Orders_Raw!E46</f>
        <v>Printer</v>
      </c>
      <c r="K46" s="4" t="str">
        <f aca="false">Orders_Raw!H46</f>
        <v>2026-04-07 09:51</v>
      </c>
      <c r="L46" s="4" t="str">
        <f aca="false">IF(COUNTIF(Orders_Raw!$A$5:$A$539,A46)&gt;1,"YES","No")</f>
        <v>No</v>
      </c>
      <c r="M46" s="4" t="str">
        <f aca="false">IF(COUNTIFS($B$5:$B$539,B46,$D$5:$D$539,D46,$F$5:$F$539,F46)&gt;1,"YES","No")</f>
        <v>No</v>
      </c>
      <c r="N46" s="4" t="str">
        <f aca="false">IFERROR(INDEX(Customer_Master!$B$5:$B$64,MATCH(B46,Customer_Master!$A$5:$A$64,0)),"UNMATCHED")</f>
        <v>Bisi Lawal</v>
      </c>
      <c r="O46" s="4" t="str">
        <f aca="false">IFERROR(INDEX(Customer_Master!$C$5:$C$64,MATCH(B46,Customer_Master!$A$5:$A$64,0)),"UNMATCHED")</f>
        <v>Lost / Low-Value</v>
      </c>
      <c r="P46" s="4" t="str">
        <f aca="false">IFERROR(INDEX(Customer_Master!$D$5:$D$64,MATCH(B46,Customer_Master!$A$5:$A$64,0)),"UNMATCHED")</f>
        <v>Jos</v>
      </c>
      <c r="Q46" s="4" t="str">
        <f aca="false">IF(N46="UNMATCHED","Unmatched","Matched")</f>
        <v>Matched</v>
      </c>
      <c r="R46" s="4" t="str">
        <f aca="false">IF(OR(E46="No",G46="No",I46="No",L46="YES",Q46="Unmatched"),"NEEDS REVIEW","OK")</f>
        <v>OK</v>
      </c>
    </row>
    <row r="47" customFormat="false" ht="15" hidden="false" customHeight="false" outlineLevel="0" collapsed="false">
      <c r="A47" s="4" t="str">
        <f aca="false">Orders_Raw!A47</f>
        <v>ORD00365</v>
      </c>
      <c r="B47" s="4" t="str">
        <f aca="false">TRIM(UPPER(Orders_Raw!B47))</f>
        <v>CUST0054</v>
      </c>
      <c r="C47" s="4" t="str">
        <f aca="false">PROPER(TRIM(Orders_Raw!C47))</f>
        <v>Samuel Ajayi</v>
      </c>
      <c r="D47" s="6" t="n">
        <f aca="false">IFERROR(DATEVALUE(Orders_Raw!D47),"")</f>
        <v>46172</v>
      </c>
      <c r="E47" s="4" t="str">
        <f aca="false">IF(D47="","No","Yes")</f>
        <v>Yes</v>
      </c>
      <c r="F47" s="4" t="n">
        <f aca="false">IFERROR(VALUE(SUBSTITUTE(SUBSTITUTE(SUBSTITUTE(Orders_Raw!G47,"$",""),"NGN",""),",","")),"")</f>
        <v>1563.68</v>
      </c>
      <c r="G47" s="4" t="str">
        <f aca="false">IF(F47="","No","Yes")</f>
        <v>Yes</v>
      </c>
      <c r="H47" s="4" t="str">
        <f aca="false">Orders_Raw!F47</f>
        <v>2</v>
      </c>
      <c r="I47" s="4" t="str">
        <f aca="false">IF(H47="","No",IF(H47&lt;=0,"No","Yes"))</f>
        <v>Yes</v>
      </c>
      <c r="J47" s="4" t="str">
        <f aca="false">Orders_Raw!E47</f>
        <v>Printer</v>
      </c>
      <c r="K47" s="4" t="str">
        <f aca="false">Orders_Raw!H47</f>
        <v>2026-05-30 17:37</v>
      </c>
      <c r="L47" s="4" t="str">
        <f aca="false">IF(COUNTIF(Orders_Raw!$A$5:$A$539,A47)&gt;1,"YES","No")</f>
        <v>No</v>
      </c>
      <c r="M47" s="4" t="str">
        <f aca="false">IF(COUNTIFS($B$5:$B$539,B47,$D$5:$D$539,D47,$F$5:$F$539,F47)&gt;1,"YES","No")</f>
        <v>No</v>
      </c>
      <c r="N47" s="4" t="str">
        <f aca="false">IFERROR(INDEX(Customer_Master!$B$5:$B$64,MATCH(B47,Customer_Master!$A$5:$A$64,0)),"UNMATCHED")</f>
        <v>Samuel Ajayi</v>
      </c>
      <c r="O47" s="4" t="str">
        <f aca="false">IFERROR(INDEX(Customer_Master!$C$5:$C$64,MATCH(B47,Customer_Master!$A$5:$A$64,0)),"UNMATCHED")</f>
        <v>At Risk</v>
      </c>
      <c r="P47" s="4" t="str">
        <f aca="false">IFERROR(INDEX(Customer_Master!$D$5:$D$64,MATCH(B47,Customer_Master!$A$5:$A$64,0)),"UNMATCHED")</f>
        <v>Kaduna</v>
      </c>
      <c r="Q47" s="4" t="str">
        <f aca="false">IF(N47="UNMATCHED","Unmatched","Matched")</f>
        <v>Matched</v>
      </c>
      <c r="R47" s="4" t="str">
        <f aca="false">IF(OR(E47="No",G47="No",I47="No",L47="YES",Q47="Unmatched"),"NEEDS REVIEW","OK")</f>
        <v>OK</v>
      </c>
    </row>
    <row r="48" customFormat="false" ht="15" hidden="false" customHeight="false" outlineLevel="0" collapsed="false">
      <c r="A48" s="4" t="str">
        <f aca="false">Orders_Raw!A48</f>
        <v>ORD00360</v>
      </c>
      <c r="B48" s="4" t="str">
        <f aca="false">TRIM(UPPER(Orders_Raw!B48))</f>
        <v>CUST0025</v>
      </c>
      <c r="C48" s="4" t="str">
        <f aca="false">PROPER(TRIM(Orders_Raw!C48))</f>
        <v>Fatima Okafor</v>
      </c>
      <c r="D48" s="6" t="str">
        <f aca="false">IFERROR(DATEVALUE(Orders_Raw!D48),"")</f>
        <v/>
      </c>
      <c r="E48" s="4" t="str">
        <f aca="false">IF(D48="","No","Yes")</f>
        <v>No</v>
      </c>
      <c r="F48" s="4" t="n">
        <f aca="false">IFERROR(VALUE(SUBSTITUTE(SUBSTITUTE(SUBSTITUTE(Orders_Raw!G48,"$",""),"NGN",""),",","")),"")</f>
        <v>891.95</v>
      </c>
      <c r="G48" s="4" t="str">
        <f aca="false">IF(F48="","No","Yes")</f>
        <v>Yes</v>
      </c>
      <c r="H48" s="4" t="str">
        <f aca="false">Orders_Raw!F48</f>
        <v>2</v>
      </c>
      <c r="I48" s="4" t="str">
        <f aca="false">IF(H48="","No",IF(H48&lt;=0,"No","Yes"))</f>
        <v>Yes</v>
      </c>
      <c r="J48" s="4" t="str">
        <f aca="false">Orders_Raw!E48</f>
        <v>Laptop</v>
      </c>
      <c r="K48" s="4" t="str">
        <f aca="false">Orders_Raw!H48</f>
        <v>2026-05-13 16:56</v>
      </c>
      <c r="L48" s="4" t="str">
        <f aca="false">IF(COUNTIF(Orders_Raw!$A$5:$A$539,A48)&gt;1,"YES","No")</f>
        <v>No</v>
      </c>
      <c r="M48" s="4" t="str">
        <f aca="false">IF(COUNTIFS($B$5:$B$539,B48,$D$5:$D$539,D48,$F$5:$F$539,F48)&gt;1,"YES","No")</f>
        <v>No</v>
      </c>
      <c r="N48" s="4" t="str">
        <f aca="false">IFERROR(INDEX(Customer_Master!$B$5:$B$64,MATCH(B48,Customer_Master!$A$5:$A$64,0)),"UNMATCHED")</f>
        <v>Fatima Okafor</v>
      </c>
      <c r="O48" s="4" t="str">
        <f aca="false">IFERROR(INDEX(Customer_Master!$C$5:$C$64,MATCH(B48,Customer_Master!$A$5:$A$64,0)),"UNMATCHED")</f>
        <v>Loyal</v>
      </c>
      <c r="P48" s="4" t="str">
        <f aca="false">IFERROR(INDEX(Customer_Master!$D$5:$D$64,MATCH(B48,Customer_Master!$A$5:$A$64,0)),"UNMATCHED")</f>
        <v>Jos</v>
      </c>
      <c r="Q48" s="4" t="str">
        <f aca="false">IF(N48="UNMATCHED","Unmatched","Matched")</f>
        <v>Matched</v>
      </c>
      <c r="R48" s="4" t="str">
        <f aca="false">IF(OR(E48="No",G48="No",I48="No",L48="YES",Q48="Unmatched"),"NEEDS REVIEW","OK")</f>
        <v>NEEDS REVIEW</v>
      </c>
    </row>
    <row r="49" customFormat="false" ht="15" hidden="false" customHeight="false" outlineLevel="0" collapsed="false">
      <c r="A49" s="4" t="str">
        <f aca="false">Orders_Raw!A49</f>
        <v>ORD00151</v>
      </c>
      <c r="B49" s="4" t="str">
        <f aca="false">TRIM(UPPER(Orders_Raw!B49))</f>
        <v>CUST0053</v>
      </c>
      <c r="C49" s="4" t="str">
        <f aca="false">PROPER(TRIM(Orders_Raw!C49))</f>
        <v>Comfort Adeyemi</v>
      </c>
      <c r="D49" s="6" t="str">
        <f aca="false">IFERROR(DATEVALUE(Orders_Raw!D49),"")</f>
        <v/>
      </c>
      <c r="E49" s="4" t="str">
        <f aca="false">IF(D49="","No","Yes")</f>
        <v>No</v>
      </c>
      <c r="F49" s="4" t="n">
        <f aca="false">IFERROR(VALUE(SUBSTITUTE(SUBSTITUTE(SUBSTITUTE(Orders_Raw!G49,"$",""),"NGN",""),",","")),"")</f>
        <v>489.1</v>
      </c>
      <c r="G49" s="4" t="str">
        <f aca="false">IF(F49="","No","Yes")</f>
        <v>Yes</v>
      </c>
      <c r="H49" s="4" t="str">
        <f aca="false">Orders_Raw!F49</f>
        <v>2</v>
      </c>
      <c r="I49" s="4" t="str">
        <f aca="false">IF(H49="","No",IF(H49&lt;=0,"No","Yes"))</f>
        <v>Yes</v>
      </c>
      <c r="J49" s="4" t="str">
        <f aca="false">Orders_Raw!E49</f>
        <v>Charger</v>
      </c>
      <c r="K49" s="4" t="str">
        <f aca="false">Orders_Raw!H49</f>
        <v>2026-05-27 14:32</v>
      </c>
      <c r="L49" s="4" t="str">
        <f aca="false">IF(COUNTIF(Orders_Raw!$A$5:$A$539,A49)&gt;1,"YES","No")</f>
        <v>No</v>
      </c>
      <c r="M49" s="4" t="str">
        <f aca="false">IF(COUNTIFS($B$5:$B$539,B49,$D$5:$D$539,D49,$F$5:$F$539,F49)&gt;1,"YES","No")</f>
        <v>No</v>
      </c>
      <c r="N49" s="4" t="str">
        <f aca="false">IFERROR(INDEX(Customer_Master!$B$5:$B$64,MATCH(B49,Customer_Master!$A$5:$A$64,0)),"UNMATCHED")</f>
        <v>Comfort Adeyemi</v>
      </c>
      <c r="O49" s="4" t="str">
        <f aca="false">IFERROR(INDEX(Customer_Master!$C$5:$C$64,MATCH(B49,Customer_Master!$A$5:$A$64,0)),"UNMATCHED")</f>
        <v>At Risk</v>
      </c>
      <c r="P49" s="4" t="str">
        <f aca="false">IFERROR(INDEX(Customer_Master!$D$5:$D$64,MATCH(B49,Customer_Master!$A$5:$A$64,0)),"UNMATCHED")</f>
        <v>Abuja</v>
      </c>
      <c r="Q49" s="4" t="str">
        <f aca="false">IF(N49="UNMATCHED","Unmatched","Matched")</f>
        <v>Matched</v>
      </c>
      <c r="R49" s="4" t="str">
        <f aca="false">IF(OR(E49="No",G49="No",I49="No",L49="YES",Q49="Unmatched"),"NEEDS REVIEW","OK")</f>
        <v>NEEDS REVIEW</v>
      </c>
    </row>
    <row r="50" customFormat="false" ht="15" hidden="false" customHeight="false" outlineLevel="0" collapsed="false">
      <c r="A50" s="4" t="str">
        <f aca="false">Orders_Raw!A50</f>
        <v>ORD00448</v>
      </c>
      <c r="B50" s="4" t="str">
        <f aca="false">TRIM(UPPER(Orders_Raw!B50))</f>
        <v>CUST0014</v>
      </c>
      <c r="C50" s="4" t="str">
        <f aca="false">PROPER(TRIM(Orders_Raw!C50))</f>
        <v>Joy Lawal</v>
      </c>
      <c r="D50" s="6" t="n">
        <f aca="false">IFERROR(DATEVALUE(Orders_Raw!D50),"")</f>
        <v>46218</v>
      </c>
      <c r="E50" s="4" t="str">
        <f aca="false">IF(D50="","No","Yes")</f>
        <v>Yes</v>
      </c>
      <c r="F50" s="4" t="n">
        <f aca="false">IFERROR(VALUE(SUBSTITUTE(SUBSTITUTE(SUBSTITUTE(Orders_Raw!G50,"$",""),"NGN",""),",","")),"")</f>
        <v>1548.11</v>
      </c>
      <c r="G50" s="4" t="str">
        <f aca="false">IF(F50="","No","Yes")</f>
        <v>Yes</v>
      </c>
      <c r="H50" s="4" t="str">
        <f aca="false">Orders_Raw!F50</f>
        <v>3</v>
      </c>
      <c r="I50" s="4" t="str">
        <f aca="false">IF(H50="","No",IF(H50&lt;=0,"No","Yes"))</f>
        <v>Yes</v>
      </c>
      <c r="J50" s="4" t="str">
        <f aca="false">Orders_Raw!E50</f>
        <v>Charger</v>
      </c>
      <c r="K50" s="4" t="str">
        <f aca="false">Orders_Raw!H50</f>
        <v>2026-07-15 18:01</v>
      </c>
      <c r="L50" s="4" t="str">
        <f aca="false">IF(COUNTIF(Orders_Raw!$A$5:$A$539,A50)&gt;1,"YES","No")</f>
        <v>No</v>
      </c>
      <c r="M50" s="4" t="str">
        <f aca="false">IF(COUNTIFS($B$5:$B$539,B50,$D$5:$D$539,D50,$F$5:$F$539,F50)&gt;1,"YES","No")</f>
        <v>No</v>
      </c>
      <c r="N50" s="4" t="str">
        <f aca="false">IFERROR(INDEX(Customer_Master!$B$5:$B$64,MATCH(B50,Customer_Master!$A$5:$A$64,0)),"UNMATCHED")</f>
        <v>Joy Eze</v>
      </c>
      <c r="O50" s="4" t="str">
        <f aca="false">IFERROR(INDEX(Customer_Master!$C$5:$C$64,MATCH(B50,Customer_Master!$A$5:$A$64,0)),"UNMATCHED")</f>
        <v>New</v>
      </c>
      <c r="P50" s="4" t="str">
        <f aca="false">IFERROR(INDEX(Customer_Master!$D$5:$D$64,MATCH(B50,Customer_Master!$A$5:$A$64,0)),"UNMATCHED")</f>
        <v>Jos</v>
      </c>
      <c r="Q50" s="4" t="str">
        <f aca="false">IF(N50="UNMATCHED","Unmatched","Matched")</f>
        <v>Matched</v>
      </c>
      <c r="R50" s="4" t="str">
        <f aca="false">IF(OR(E50="No",G50="No",I50="No",L50="YES",Q50="Unmatched"),"NEEDS REVIEW","OK")</f>
        <v>OK</v>
      </c>
    </row>
    <row r="51" customFormat="false" ht="15" hidden="false" customHeight="false" outlineLevel="0" collapsed="false">
      <c r="A51" s="4" t="str">
        <f aca="false">Orders_Raw!A51</f>
        <v>ORD00261</v>
      </c>
      <c r="B51" s="4" t="str">
        <f aca="false">TRIM(UPPER(Orders_Raw!B51))</f>
        <v>CUST0002</v>
      </c>
      <c r="C51" s="4" t="str">
        <f aca="false">PROPER(TRIM(Orders_Raw!C51))</f>
        <v>Tunde Ajayi</v>
      </c>
      <c r="D51" s="6" t="n">
        <f aca="false">IFERROR(DATEVALUE(Orders_Raw!D51),"")</f>
        <v>46030</v>
      </c>
      <c r="E51" s="4" t="str">
        <f aca="false">IF(D51="","No","Yes")</f>
        <v>Yes</v>
      </c>
      <c r="F51" s="4" t="n">
        <f aca="false">IFERROR(VALUE(SUBSTITUTE(SUBSTITUTE(SUBSTITUTE(Orders_Raw!G51,"$",""),"NGN",""),",","")),"")</f>
        <v>160.6</v>
      </c>
      <c r="G51" s="4" t="str">
        <f aca="false">IF(F51="","No","Yes")</f>
        <v>Yes</v>
      </c>
      <c r="H51" s="4" t="str">
        <f aca="false">Orders_Raw!F51</f>
        <v>3</v>
      </c>
      <c r="I51" s="4" t="str">
        <f aca="false">IF(H51="","No",IF(H51&lt;=0,"No","Yes"))</f>
        <v>Yes</v>
      </c>
      <c r="J51" s="4" t="str">
        <f aca="false">Orders_Raw!E51</f>
        <v>Charger</v>
      </c>
      <c r="K51" s="4" t="str">
        <f aca="false">Orders_Raw!H51</f>
        <v>2026-01-08 10:06</v>
      </c>
      <c r="L51" s="4" t="str">
        <f aca="false">IF(COUNTIF(Orders_Raw!$A$5:$A$539,A51)&gt;1,"YES","No")</f>
        <v>No</v>
      </c>
      <c r="M51" s="4" t="str">
        <f aca="false">IF(COUNTIFS($B$5:$B$539,B51,$D$5:$D$539,D51,$F$5:$F$539,F51)&gt;1,"YES","No")</f>
        <v>No</v>
      </c>
      <c r="N51" s="4" t="str">
        <f aca="false">IFERROR(INDEX(Customer_Master!$B$5:$B$64,MATCH(B51,Customer_Master!$A$5:$A$64,0)),"UNMATCHED")</f>
        <v>Tunde Ajayi</v>
      </c>
      <c r="O51" s="4" t="str">
        <f aca="false">IFERROR(INDEX(Customer_Master!$C$5:$C$64,MATCH(B51,Customer_Master!$A$5:$A$64,0)),"UNMATCHED")</f>
        <v>Loyal</v>
      </c>
      <c r="P51" s="4" t="str">
        <f aca="false">IFERROR(INDEX(Customer_Master!$D$5:$D$64,MATCH(B51,Customer_Master!$A$5:$A$64,0)),"UNMATCHED")</f>
        <v>Abuja</v>
      </c>
      <c r="Q51" s="4" t="str">
        <f aca="false">IF(N51="UNMATCHED","Unmatched","Matched")</f>
        <v>Matched</v>
      </c>
      <c r="R51" s="4" t="str">
        <f aca="false">IF(OR(E51="No",G51="No",I51="No",L51="YES",Q51="Unmatched"),"NEEDS REVIEW","OK")</f>
        <v>OK</v>
      </c>
    </row>
    <row r="52" customFormat="false" ht="15" hidden="false" customHeight="false" outlineLevel="0" collapsed="false">
      <c r="A52" s="4" t="str">
        <f aca="false">Orders_Raw!A52</f>
        <v>ORD00234</v>
      </c>
      <c r="B52" s="4" t="str">
        <f aca="false">TRIM(UPPER(Orders_Raw!B52))</f>
        <v>CUST0056</v>
      </c>
      <c r="C52" s="4" t="str">
        <f aca="false">PROPER(TRIM(Orders_Raw!C52))</f>
        <v>Tunde Yakubu</v>
      </c>
      <c r="D52" s="6" t="n">
        <f aca="false">IFERROR(DATEVALUE(Orders_Raw!D52),"")</f>
        <v>46144</v>
      </c>
      <c r="E52" s="4" t="str">
        <f aca="false">IF(D52="","No","Yes")</f>
        <v>Yes</v>
      </c>
      <c r="F52" s="4" t="n">
        <f aca="false">IFERROR(VALUE(SUBSTITUTE(SUBSTITUTE(SUBSTITUTE(Orders_Raw!G52,"$",""),"NGN",""),",","")),"")</f>
        <v>1480.09</v>
      </c>
      <c r="G52" s="4" t="str">
        <f aca="false">IF(F52="","No","Yes")</f>
        <v>Yes</v>
      </c>
      <c r="H52" s="4" t="str">
        <f aca="false">Orders_Raw!F52</f>
        <v>2</v>
      </c>
      <c r="I52" s="4" t="str">
        <f aca="false">IF(H52="","No",IF(H52&lt;=0,"No","Yes"))</f>
        <v>Yes</v>
      </c>
      <c r="J52" s="4" t="str">
        <f aca="false">Orders_Raw!E52</f>
        <v>Headphones</v>
      </c>
      <c r="K52" s="4" t="str">
        <f aca="false">Orders_Raw!H52</f>
        <v>2026-02-05 11:17</v>
      </c>
      <c r="L52" s="4" t="str">
        <f aca="false">IF(COUNTIF(Orders_Raw!$A$5:$A$539,A52)&gt;1,"YES","No")</f>
        <v>No</v>
      </c>
      <c r="M52" s="4" t="str">
        <f aca="false">IF(COUNTIFS($B$5:$B$539,B52,$D$5:$D$539,D52,$F$5:$F$539,F52)&gt;1,"YES","No")</f>
        <v>No</v>
      </c>
      <c r="N52" s="4" t="str">
        <f aca="false">IFERROR(INDEX(Customer_Master!$B$5:$B$64,MATCH(B52,Customer_Master!$A$5:$A$64,0)),"UNMATCHED")</f>
        <v>Tunde Yakubu</v>
      </c>
      <c r="O52" s="4" t="str">
        <f aca="false">IFERROR(INDEX(Customer_Master!$C$5:$C$64,MATCH(B52,Customer_Master!$A$5:$A$64,0)),"UNMATCHED")</f>
        <v>Lost / Low-Value</v>
      </c>
      <c r="P52" s="4" t="str">
        <f aca="false">IFERROR(INDEX(Customer_Master!$D$5:$D$64,MATCH(B52,Customer_Master!$A$5:$A$64,0)),"UNMATCHED")</f>
        <v>Kano</v>
      </c>
      <c r="Q52" s="4" t="str">
        <f aca="false">IF(N52="UNMATCHED","Unmatched","Matched")</f>
        <v>Matched</v>
      </c>
      <c r="R52" s="4" t="str">
        <f aca="false">IF(OR(E52="No",G52="No",I52="No",L52="YES",Q52="Unmatched"),"NEEDS REVIEW","OK")</f>
        <v>OK</v>
      </c>
    </row>
    <row r="53" customFormat="false" ht="15" hidden="false" customHeight="false" outlineLevel="0" collapsed="false">
      <c r="A53" s="4" t="str">
        <f aca="false">Orders_Raw!A53</f>
        <v>ORD00318</v>
      </c>
      <c r="B53" s="4" t="str">
        <f aca="false">TRIM(UPPER(Orders_Raw!B53))</f>
        <v>CUST0031</v>
      </c>
      <c r="C53" s="4" t="str">
        <f aca="false">PROPER(TRIM(Orders_Raw!C53))</f>
        <v>Emeka Adeyemi</v>
      </c>
      <c r="D53" s="6" t="str">
        <f aca="false">IFERROR(DATEVALUE(Orders_Raw!D53),"")</f>
        <v/>
      </c>
      <c r="E53" s="4" t="str">
        <f aca="false">IF(D53="","No","Yes")</f>
        <v>No</v>
      </c>
      <c r="F53" s="4" t="n">
        <f aca="false">IFERROR(VALUE(SUBSTITUTE(SUBSTITUTE(SUBSTITUTE(Orders_Raw!G53,"$",""),"NGN",""),",","")),"")</f>
        <v>811.78</v>
      </c>
      <c r="G53" s="4" t="str">
        <f aca="false">IF(F53="","No","Yes")</f>
        <v>Yes</v>
      </c>
      <c r="H53" s="4" t="str">
        <f aca="false">Orders_Raw!F53</f>
        <v>2</v>
      </c>
      <c r="I53" s="4" t="str">
        <f aca="false">IF(H53="","No",IF(H53&lt;=0,"No","Yes"))</f>
        <v>Yes</v>
      </c>
      <c r="J53" s="4" t="str">
        <f aca="false">Orders_Raw!E53</f>
        <v>Monitor</v>
      </c>
      <c r="K53" s="4" t="str">
        <f aca="false">Orders_Raw!H53</f>
        <v>2026-01-20 14:52</v>
      </c>
      <c r="L53" s="4" t="str">
        <f aca="false">IF(COUNTIF(Orders_Raw!$A$5:$A$539,A53)&gt;1,"YES","No")</f>
        <v>No</v>
      </c>
      <c r="M53" s="4" t="str">
        <f aca="false">IF(COUNTIFS($B$5:$B$539,B53,$D$5:$D$539,D53,$F$5:$F$539,F53)&gt;1,"YES","No")</f>
        <v>No</v>
      </c>
      <c r="N53" s="4" t="str">
        <f aca="false">IFERROR(INDEX(Customer_Master!$B$5:$B$64,MATCH(B53,Customer_Master!$A$5:$A$64,0)),"UNMATCHED")</f>
        <v>Emeka Adeyemi</v>
      </c>
      <c r="O53" s="4" t="str">
        <f aca="false">IFERROR(INDEX(Customer_Master!$C$5:$C$64,MATCH(B53,Customer_Master!$A$5:$A$64,0)),"UNMATCHED")</f>
        <v>Champions</v>
      </c>
      <c r="P53" s="4" t="str">
        <f aca="false">IFERROR(INDEX(Customer_Master!$D$5:$D$64,MATCH(B53,Customer_Master!$A$5:$A$64,0)),"UNMATCHED")</f>
        <v>Port Harcourt</v>
      </c>
      <c r="Q53" s="4" t="str">
        <f aca="false">IF(N53="UNMATCHED","Unmatched","Matched")</f>
        <v>Matched</v>
      </c>
      <c r="R53" s="4" t="str">
        <f aca="false">IF(OR(E53="No",G53="No",I53="No",L53="YES",Q53="Unmatched"),"NEEDS REVIEW","OK")</f>
        <v>NEEDS REVIEW</v>
      </c>
    </row>
    <row r="54" customFormat="false" ht="15" hidden="false" customHeight="false" outlineLevel="0" collapsed="false">
      <c r="A54" s="4" t="str">
        <f aca="false">Orders_Raw!A54</f>
        <v>ORD00109</v>
      </c>
      <c r="B54" s="4" t="str">
        <f aca="false">TRIM(UPPER(Orders_Raw!B54))</f>
        <v>CUST0042</v>
      </c>
      <c r="C54" s="4" t="str">
        <f aca="false">PROPER(TRIM(Orders_Raw!C54))</f>
        <v>Bisi Chukwu</v>
      </c>
      <c r="D54" s="6" t="n">
        <f aca="false">IFERROR(DATEVALUE(Orders_Raw!D54),"")</f>
        <v>46194</v>
      </c>
      <c r="E54" s="4" t="str">
        <f aca="false">IF(D54="","No","Yes")</f>
        <v>Yes</v>
      </c>
      <c r="F54" s="4" t="n">
        <f aca="false">IFERROR(VALUE(SUBSTITUTE(SUBSTITUTE(SUBSTITUTE(Orders_Raw!G54,"$",""),"NGN",""),",","")),"")</f>
        <v>247.23</v>
      </c>
      <c r="G54" s="4" t="str">
        <f aca="false">IF(F54="","No","Yes")</f>
        <v>Yes</v>
      </c>
      <c r="H54" s="4" t="str">
        <f aca="false">Orders_Raw!F54</f>
        <v>3</v>
      </c>
      <c r="I54" s="4" t="str">
        <f aca="false">IF(H54="","No",IF(H54&lt;=0,"No","Yes"))</f>
        <v>Yes</v>
      </c>
      <c r="J54" s="4" t="str">
        <f aca="false">Orders_Raw!E54</f>
        <v>Headphones</v>
      </c>
      <c r="K54" s="4" t="str">
        <f aca="false">Orders_Raw!H54</f>
        <v>2026-06-21 11:21</v>
      </c>
      <c r="L54" s="4" t="str">
        <f aca="false">IF(COUNTIF(Orders_Raw!$A$5:$A$539,A54)&gt;1,"YES","No")</f>
        <v>No</v>
      </c>
      <c r="M54" s="4" t="str">
        <f aca="false">IF(COUNTIFS($B$5:$B$539,B54,$D$5:$D$539,D54,$F$5:$F$539,F54)&gt;1,"YES","No")</f>
        <v>No</v>
      </c>
      <c r="N54" s="4" t="str">
        <f aca="false">IFERROR(INDEX(Customer_Master!$B$5:$B$64,MATCH(B54,Customer_Master!$A$5:$A$64,0)),"UNMATCHED")</f>
        <v>Bisi Chukwu</v>
      </c>
      <c r="O54" s="4" t="str">
        <f aca="false">IFERROR(INDEX(Customer_Master!$C$5:$C$64,MATCH(B54,Customer_Master!$A$5:$A$64,0)),"UNMATCHED")</f>
        <v>At Risk</v>
      </c>
      <c r="P54" s="4" t="str">
        <f aca="false">IFERROR(INDEX(Customer_Master!$D$5:$D$64,MATCH(B54,Customer_Master!$A$5:$A$64,0)),"UNMATCHED")</f>
        <v>Kano</v>
      </c>
      <c r="Q54" s="4" t="str">
        <f aca="false">IF(N54="UNMATCHED","Unmatched","Matched")</f>
        <v>Matched</v>
      </c>
      <c r="R54" s="4" t="str">
        <f aca="false">IF(OR(E54="No",G54="No",I54="No",L54="YES",Q54="Unmatched"),"NEEDS REVIEW","OK")</f>
        <v>OK</v>
      </c>
    </row>
    <row r="55" customFormat="false" ht="15" hidden="false" customHeight="false" outlineLevel="0" collapsed="false">
      <c r="A55" s="4" t="str">
        <f aca="false">Orders_Raw!A55</f>
        <v>ORD00120</v>
      </c>
      <c r="B55" s="4" t="str">
        <f aca="false">TRIM(UPPER(Orders_Raw!B55))</f>
        <v>CUST0005</v>
      </c>
      <c r="C55" s="4" t="str">
        <f aca="false">PROPER(TRIM(Orders_Raw!C55))</f>
        <v>Tunde Nnamdi</v>
      </c>
      <c r="D55" s="6" t="n">
        <f aca="false">IFERROR(DATEVALUE(Orders_Raw!D55),"")</f>
        <v>46152</v>
      </c>
      <c r="E55" s="4" t="str">
        <f aca="false">IF(D55="","No","Yes")</f>
        <v>Yes</v>
      </c>
      <c r="F55" s="4" t="n">
        <f aca="false">IFERROR(VALUE(SUBSTITUTE(SUBSTITUTE(SUBSTITUTE(Orders_Raw!G55,"$",""),"NGN",""),",","")),"")</f>
        <v>1392.07</v>
      </c>
      <c r="G55" s="4" t="str">
        <f aca="false">IF(F55="","No","Yes")</f>
        <v>Yes</v>
      </c>
      <c r="H55" s="4" t="str">
        <f aca="false">Orders_Raw!F55</f>
        <v>5</v>
      </c>
      <c r="I55" s="4" t="str">
        <f aca="false">IF(H55="","No",IF(H55&lt;=0,"No","Yes"))</f>
        <v>Yes</v>
      </c>
      <c r="J55" s="4" t="str">
        <f aca="false">Orders_Raw!E55</f>
        <v>Keyboard</v>
      </c>
      <c r="K55" s="4" t="str">
        <f aca="false">Orders_Raw!H55</f>
        <v>2026-05-10 12:47</v>
      </c>
      <c r="L55" s="4" t="str">
        <f aca="false">IF(COUNTIF(Orders_Raw!$A$5:$A$539,A55)&gt;1,"YES","No")</f>
        <v>No</v>
      </c>
      <c r="M55" s="4" t="str">
        <f aca="false">IF(COUNTIFS($B$5:$B$539,B55,$D$5:$D$539,D55,$F$5:$F$539,F55)&gt;1,"YES","No")</f>
        <v>No</v>
      </c>
      <c r="N55" s="4" t="str">
        <f aca="false">IFERROR(INDEX(Customer_Master!$B$5:$B$64,MATCH(B55,Customer_Master!$A$5:$A$64,0)),"UNMATCHED")</f>
        <v>Tunde Nnamdi</v>
      </c>
      <c r="O55" s="4" t="str">
        <f aca="false">IFERROR(INDEX(Customer_Master!$C$5:$C$64,MATCH(B55,Customer_Master!$A$5:$A$64,0)),"UNMATCHED")</f>
        <v>New</v>
      </c>
      <c r="P55" s="4" t="str">
        <f aca="false">IFERROR(INDEX(Customer_Master!$D$5:$D$64,MATCH(B55,Customer_Master!$A$5:$A$64,0)),"UNMATCHED")</f>
        <v>Lagos</v>
      </c>
      <c r="Q55" s="4" t="str">
        <f aca="false">IF(N55="UNMATCHED","Unmatched","Matched")</f>
        <v>Matched</v>
      </c>
      <c r="R55" s="4" t="str">
        <f aca="false">IF(OR(E55="No",G55="No",I55="No",L55="YES",Q55="Unmatched"),"NEEDS REVIEW","OK")</f>
        <v>OK</v>
      </c>
    </row>
    <row r="56" customFormat="false" ht="15" hidden="false" customHeight="false" outlineLevel="0" collapsed="false">
      <c r="A56" s="4" t="str">
        <f aca="false">Orders_Raw!A56</f>
        <v>ORD00163</v>
      </c>
      <c r="B56" s="4" t="str">
        <f aca="false">TRIM(UPPER(Orders_Raw!B56))</f>
        <v>CUST0012</v>
      </c>
      <c r="C56" s="4" t="str">
        <f aca="false">PROPER(TRIM(Orders_Raw!C56))</f>
        <v>Kemi Sani</v>
      </c>
      <c r="D56" s="6" t="n">
        <f aca="false">IFERROR(DATEVALUE(Orders_Raw!D56),"")</f>
        <v>46105</v>
      </c>
      <c r="E56" s="4" t="str">
        <f aca="false">IF(D56="","No","Yes")</f>
        <v>Yes</v>
      </c>
      <c r="F56" s="4" t="n">
        <f aca="false">IFERROR(VALUE(SUBSTITUTE(SUBSTITUTE(SUBSTITUTE(Orders_Raw!G56,"$",""),"NGN",""),",","")),"")</f>
        <v>31.97</v>
      </c>
      <c r="G56" s="4" t="str">
        <f aca="false">IF(F56="","No","Yes")</f>
        <v>Yes</v>
      </c>
      <c r="H56" s="4" t="str">
        <f aca="false">Orders_Raw!F56</f>
        <v>1</v>
      </c>
      <c r="I56" s="4" t="str">
        <f aca="false">IF(H56="","No",IF(H56&lt;=0,"No","Yes"))</f>
        <v>Yes</v>
      </c>
      <c r="J56" s="4" t="str">
        <f aca="false">Orders_Raw!E56</f>
        <v>Keyboard</v>
      </c>
      <c r="K56" s="4" t="str">
        <f aca="false">Orders_Raw!H56</f>
        <v>2026-03-24 12:37</v>
      </c>
      <c r="L56" s="4" t="str">
        <f aca="false">IF(COUNTIF(Orders_Raw!$A$5:$A$539,A56)&gt;1,"YES","No")</f>
        <v>No</v>
      </c>
      <c r="M56" s="4" t="str">
        <f aca="false">IF(COUNTIFS($B$5:$B$539,B56,$D$5:$D$539,D56,$F$5:$F$539,F56)&gt;1,"YES","No")</f>
        <v>No</v>
      </c>
      <c r="N56" s="4" t="str">
        <f aca="false">IFERROR(INDEX(Customer_Master!$B$5:$B$64,MATCH(B56,Customer_Master!$A$5:$A$64,0)),"UNMATCHED")</f>
        <v>Kemi Sani</v>
      </c>
      <c r="O56" s="4" t="str">
        <f aca="false">IFERROR(INDEX(Customer_Master!$C$5:$C$64,MATCH(B56,Customer_Master!$A$5:$A$64,0)),"UNMATCHED")</f>
        <v>Champions</v>
      </c>
      <c r="P56" s="4" t="str">
        <f aca="false">IFERROR(INDEX(Customer_Master!$D$5:$D$64,MATCH(B56,Customer_Master!$A$5:$A$64,0)),"UNMATCHED")</f>
        <v>Kaduna</v>
      </c>
      <c r="Q56" s="4" t="str">
        <f aca="false">IF(N56="UNMATCHED","Unmatched","Matched")</f>
        <v>Matched</v>
      </c>
      <c r="R56" s="4" t="str">
        <f aca="false">IF(OR(E56="No",G56="No",I56="No",L56="YES",Q56="Unmatched"),"NEEDS REVIEW","OK")</f>
        <v>OK</v>
      </c>
    </row>
    <row r="57" customFormat="false" ht="15" hidden="false" customHeight="false" outlineLevel="0" collapsed="false">
      <c r="A57" s="4" t="str">
        <f aca="false">Orders_Raw!A57</f>
        <v>ORD00145</v>
      </c>
      <c r="B57" s="4" t="str">
        <f aca="false">TRIM(UPPER(Orders_Raw!B57))</f>
        <v>CUST0003</v>
      </c>
      <c r="C57" s="4" t="str">
        <f aca="false">PROPER(TRIM(Orders_Raw!C57))</f>
        <v>Chidi Adamu</v>
      </c>
      <c r="D57" s="6" t="n">
        <f aca="false">IFERROR(DATEVALUE(Orders_Raw!D57),"")</f>
        <v>46166</v>
      </c>
      <c r="E57" s="4" t="str">
        <f aca="false">IF(D57="","No","Yes")</f>
        <v>Yes</v>
      </c>
      <c r="F57" s="4" t="n">
        <f aca="false">IFERROR(VALUE(SUBSTITUTE(SUBSTITUTE(SUBSTITUTE(Orders_Raw!G57,"$",""),"NGN",""),",","")),"")</f>
        <v>915.87</v>
      </c>
      <c r="G57" s="4" t="str">
        <f aca="false">IF(F57="","No","Yes")</f>
        <v>Yes</v>
      </c>
      <c r="H57" s="4" t="str">
        <f aca="false">Orders_Raw!F57</f>
        <v>1</v>
      </c>
      <c r="I57" s="4" t="str">
        <f aca="false">IF(H57="","No",IF(H57&lt;=0,"No","Yes"))</f>
        <v>Yes</v>
      </c>
      <c r="J57" s="4" t="str">
        <f aca="false">Orders_Raw!E57</f>
        <v>Tablet</v>
      </c>
      <c r="K57" s="4" t="str">
        <f aca="false">Orders_Raw!H57</f>
        <v>2026-05-24 12:52</v>
      </c>
      <c r="L57" s="4" t="str">
        <f aca="false">IF(COUNTIF(Orders_Raw!$A$5:$A$539,A57)&gt;1,"YES","No")</f>
        <v>YES</v>
      </c>
      <c r="M57" s="4" t="str">
        <f aca="false">IF(COUNTIFS($B$5:$B$539,B57,$D$5:$D$539,D57,$F$5:$F$539,F57)&gt;1,"YES","No")</f>
        <v>YES</v>
      </c>
      <c r="N57" s="4" t="str">
        <f aca="false">IFERROR(INDEX(Customer_Master!$B$5:$B$64,MATCH(B57,Customer_Master!$A$5:$A$64,0)),"UNMATCHED")</f>
        <v>Chidi Adamu</v>
      </c>
      <c r="O57" s="4" t="str">
        <f aca="false">IFERROR(INDEX(Customer_Master!$C$5:$C$64,MATCH(B57,Customer_Master!$A$5:$A$64,0)),"UNMATCHED")</f>
        <v>Champions</v>
      </c>
      <c r="P57" s="4" t="str">
        <f aca="false">IFERROR(INDEX(Customer_Master!$D$5:$D$64,MATCH(B57,Customer_Master!$A$5:$A$64,0)),"UNMATCHED")</f>
        <v>Enugu</v>
      </c>
      <c r="Q57" s="4" t="str">
        <f aca="false">IF(N57="UNMATCHED","Unmatched","Matched")</f>
        <v>Matched</v>
      </c>
      <c r="R57" s="4" t="str">
        <f aca="false">IF(OR(E57="No",G57="No",I57="No",L57="YES",Q57="Unmatched"),"NEEDS REVIEW","OK")</f>
        <v>NEEDS REVIEW</v>
      </c>
    </row>
    <row r="58" customFormat="false" ht="15" hidden="false" customHeight="false" outlineLevel="0" collapsed="false">
      <c r="A58" s="4" t="str">
        <f aca="false">Orders_Raw!A58</f>
        <v>ORD00330</v>
      </c>
      <c r="B58" s="4" t="str">
        <f aca="false">TRIM(UPPER(Orders_Raw!B58))</f>
        <v>CUST0055</v>
      </c>
      <c r="C58" s="4" t="str">
        <f aca="false">PROPER(TRIM(Orders_Raw!C58))</f>
        <v>Amaka Adamu</v>
      </c>
      <c r="D58" s="6" t="str">
        <f aca="false">IFERROR(DATEVALUE(Orders_Raw!D58),"")</f>
        <v/>
      </c>
      <c r="E58" s="4" t="str">
        <f aca="false">IF(D58="","No","Yes")</f>
        <v>No</v>
      </c>
      <c r="F58" s="4" t="n">
        <f aca="false">IFERROR(VALUE(SUBSTITUTE(SUBSTITUTE(SUBSTITUTE(Orders_Raw!G58,"$",""),"NGN",""),",","")),"")</f>
        <v>77.8</v>
      </c>
      <c r="G58" s="4" t="str">
        <f aca="false">IF(F58="","No","Yes")</f>
        <v>Yes</v>
      </c>
      <c r="H58" s="4" t="str">
        <f aca="false">Orders_Raw!F58</f>
        <v>1</v>
      </c>
      <c r="I58" s="4" t="str">
        <f aca="false">IF(H58="","No",IF(H58&lt;=0,"No","Yes"))</f>
        <v>Yes</v>
      </c>
      <c r="J58" s="4" t="str">
        <f aca="false">Orders_Raw!E58</f>
        <v>Headphones</v>
      </c>
      <c r="K58" s="4" t="str">
        <f aca="false">Orders_Raw!H58</f>
        <v>2026-05-14 12:43</v>
      </c>
      <c r="L58" s="4" t="str">
        <f aca="false">IF(COUNTIF(Orders_Raw!$A$5:$A$539,A58)&gt;1,"YES","No")</f>
        <v>YES</v>
      </c>
      <c r="M58" s="4" t="str">
        <f aca="false">IF(COUNTIFS($B$5:$B$539,B58,$D$5:$D$539,D58,$F$5:$F$539,F58)&gt;1,"YES","No")</f>
        <v>YES</v>
      </c>
      <c r="N58" s="4" t="str">
        <f aca="false">IFERROR(INDEX(Customer_Master!$B$5:$B$64,MATCH(B58,Customer_Master!$A$5:$A$64,0)),"UNMATCHED")</f>
        <v>Amaka Adamu</v>
      </c>
      <c r="O58" s="4" t="str">
        <f aca="false">IFERROR(INDEX(Customer_Master!$C$5:$C$64,MATCH(B58,Customer_Master!$A$5:$A$64,0)),"UNMATCHED")</f>
        <v>Loyal</v>
      </c>
      <c r="P58" s="4" t="str">
        <f aca="false">IFERROR(INDEX(Customer_Master!$D$5:$D$64,MATCH(B58,Customer_Master!$A$5:$A$64,0)),"UNMATCHED")</f>
        <v>Kaduna</v>
      </c>
      <c r="Q58" s="4" t="str">
        <f aca="false">IF(N58="UNMATCHED","Unmatched","Matched")</f>
        <v>Matched</v>
      </c>
      <c r="R58" s="4" t="str">
        <f aca="false">IF(OR(E58="No",G58="No",I58="No",L58="YES",Q58="Unmatched"),"NEEDS REVIEW","OK")</f>
        <v>NEEDS REVIEW</v>
      </c>
    </row>
    <row r="59" customFormat="false" ht="15" hidden="false" customHeight="false" outlineLevel="0" collapsed="false">
      <c r="A59" s="4" t="str">
        <f aca="false">Orders_Raw!A59</f>
        <v>ORD00520</v>
      </c>
      <c r="B59" s="4" t="str">
        <f aca="false">TRIM(UPPER(Orders_Raw!B59))</f>
        <v>CUSTO038</v>
      </c>
      <c r="C59" s="4" t="str">
        <f aca="false">PROPER(TRIM(Orders_Raw!C59))</f>
        <v>James Sani</v>
      </c>
      <c r="D59" s="6" t="n">
        <f aca="false">IFERROR(DATEVALUE(Orders_Raw!D59),"")</f>
        <v>46150</v>
      </c>
      <c r="E59" s="4" t="str">
        <f aca="false">IF(D59="","No","Yes")</f>
        <v>Yes</v>
      </c>
      <c r="F59" s="4" t="n">
        <f aca="false">IFERROR(VALUE(SUBSTITUTE(SUBSTITUTE(SUBSTITUTE(Orders_Raw!G59,"$",""),"NGN",""),",","")),"")</f>
        <v>2000.95</v>
      </c>
      <c r="G59" s="4" t="str">
        <f aca="false">IF(F59="","No","Yes")</f>
        <v>Yes</v>
      </c>
      <c r="H59" s="4" t="str">
        <f aca="false">Orders_Raw!F59</f>
        <v>1</v>
      </c>
      <c r="I59" s="4" t="str">
        <f aca="false">IF(H59="","No",IF(H59&lt;=0,"No","Yes"))</f>
        <v>Yes</v>
      </c>
      <c r="J59" s="4" t="str">
        <f aca="false">Orders_Raw!E59</f>
        <v>Monitor</v>
      </c>
      <c r="K59" s="4" t="str">
        <f aca="false">Orders_Raw!H59</f>
        <v>2026-05-08 13:07</v>
      </c>
      <c r="L59" s="4" t="str">
        <f aca="false">IF(COUNTIF(Orders_Raw!$A$5:$A$539,A59)&gt;1,"YES","No")</f>
        <v>No</v>
      </c>
      <c r="M59" s="4" t="str">
        <f aca="false">IF(COUNTIFS($B$5:$B$539,B59,$D$5:$D$539,D59,$F$5:$F$539,F59)&gt;1,"YES","No")</f>
        <v>No</v>
      </c>
      <c r="N59" s="4" t="str">
        <f aca="false">IFERROR(INDEX(Customer_Master!$B$5:$B$64,MATCH(B59,Customer_Master!$A$5:$A$64,0)),"UNMATCHED")</f>
        <v>UNMATCHED</v>
      </c>
      <c r="O59" s="4" t="str">
        <f aca="false">IFERROR(INDEX(Customer_Master!$C$5:$C$64,MATCH(B59,Customer_Master!$A$5:$A$64,0)),"UNMATCHED")</f>
        <v>UNMATCHED</v>
      </c>
      <c r="P59" s="4" t="str">
        <f aca="false">IFERROR(INDEX(Customer_Master!$D$5:$D$64,MATCH(B59,Customer_Master!$A$5:$A$64,0)),"UNMATCHED")</f>
        <v>UNMATCHED</v>
      </c>
      <c r="Q59" s="4" t="str">
        <f aca="false">IF(N59="UNMATCHED","Unmatched","Matched")</f>
        <v>Unmatched</v>
      </c>
      <c r="R59" s="4" t="str">
        <f aca="false">IF(OR(E59="No",G59="No",I59="No",L59="YES",Q59="Unmatched"),"NEEDS REVIEW","OK")</f>
        <v>NEEDS REVIEW</v>
      </c>
    </row>
    <row r="60" customFormat="false" ht="15" hidden="false" customHeight="false" outlineLevel="0" collapsed="false">
      <c r="A60" s="4" t="str">
        <f aca="false">Orders_Raw!A60</f>
        <v>ORD00329</v>
      </c>
      <c r="B60" s="4" t="str">
        <f aca="false">TRIM(UPPER(Orders_Raw!B60))</f>
        <v>CUST0045</v>
      </c>
      <c r="C60" s="4" t="str">
        <f aca="false">PROPER(TRIM(Orders_Raw!C60))</f>
        <v>Yusuf Yakubu</v>
      </c>
      <c r="D60" s="6" t="n">
        <f aca="false">IFERROR(DATEVALUE(Orders_Raw!D60),"")</f>
        <v>46217</v>
      </c>
      <c r="E60" s="4" t="str">
        <f aca="false">IF(D60="","No","Yes")</f>
        <v>Yes</v>
      </c>
      <c r="F60" s="4" t="n">
        <f aca="false">IFERROR(VALUE(SUBSTITUTE(SUBSTITUTE(SUBSTITUTE(Orders_Raw!G60,"$",""),"NGN",""),",","")),"")</f>
        <v>1412.27</v>
      </c>
      <c r="G60" s="4" t="str">
        <f aca="false">IF(F60="","No","Yes")</f>
        <v>Yes</v>
      </c>
      <c r="H60" s="4" t="str">
        <f aca="false">Orders_Raw!F60</f>
        <v>3</v>
      </c>
      <c r="I60" s="4" t="str">
        <f aca="false">IF(H60="","No",IF(H60&lt;=0,"No","Yes"))</f>
        <v>Yes</v>
      </c>
      <c r="J60" s="4" t="str">
        <f aca="false">Orders_Raw!E60</f>
        <v>Tablet</v>
      </c>
      <c r="K60" s="4" t="str">
        <f aca="false">Orders_Raw!H60</f>
        <v>2026-07-14 12:56</v>
      </c>
      <c r="L60" s="4" t="str">
        <f aca="false">IF(COUNTIF(Orders_Raw!$A$5:$A$539,A60)&gt;1,"YES","No")</f>
        <v>No</v>
      </c>
      <c r="M60" s="4" t="str">
        <f aca="false">IF(COUNTIFS($B$5:$B$539,B60,$D$5:$D$539,D60,$F$5:$F$539,F60)&gt;1,"YES","No")</f>
        <v>No</v>
      </c>
      <c r="N60" s="4" t="str">
        <f aca="false">IFERROR(INDEX(Customer_Master!$B$5:$B$64,MATCH(B60,Customer_Master!$A$5:$A$64,0)),"UNMATCHED")</f>
        <v>Yusuf Yakubu</v>
      </c>
      <c r="O60" s="4" t="str">
        <f aca="false">IFERROR(INDEX(Customer_Master!$C$5:$C$64,MATCH(B60,Customer_Master!$A$5:$A$64,0)),"UNMATCHED")</f>
        <v>New</v>
      </c>
      <c r="P60" s="4" t="str">
        <f aca="false">IFERROR(INDEX(Customer_Master!$D$5:$D$64,MATCH(B60,Customer_Master!$A$5:$A$64,0)),"UNMATCHED")</f>
        <v>Port Harcourt</v>
      </c>
      <c r="Q60" s="4" t="str">
        <f aca="false">IF(N60="UNMATCHED","Unmatched","Matched")</f>
        <v>Matched</v>
      </c>
      <c r="R60" s="4" t="str">
        <f aca="false">IF(OR(E60="No",G60="No",I60="No",L60="YES",Q60="Unmatched"),"NEEDS REVIEW","OK")</f>
        <v>OK</v>
      </c>
    </row>
    <row r="61" customFormat="false" ht="15" hidden="false" customHeight="false" outlineLevel="0" collapsed="false">
      <c r="A61" s="4" t="str">
        <f aca="false">Orders_Raw!A61</f>
        <v>ORD00507</v>
      </c>
      <c r="B61" s="4" t="str">
        <f aca="false">TRIM(UPPER(Orders_Raw!B61))</f>
        <v>CUSTO003</v>
      </c>
      <c r="C61" s="4" t="str">
        <f aca="false">PROPER(TRIM(Orders_Raw!C61))</f>
        <v>Chidi Adamu</v>
      </c>
      <c r="D61" s="6" t="n">
        <f aca="false">IFERROR(DATEVALUE(Orders_Raw!D61),"")</f>
        <v>46175</v>
      </c>
      <c r="E61" s="4" t="str">
        <f aca="false">IF(D61="","No","Yes")</f>
        <v>Yes</v>
      </c>
      <c r="F61" s="4" t="n">
        <f aca="false">IFERROR(VALUE(SUBSTITUTE(SUBSTITUTE(SUBSTITUTE(Orders_Raw!G61,"$",""),"NGN",""),",","")),"")</f>
        <v>2376.97</v>
      </c>
      <c r="G61" s="4" t="str">
        <f aca="false">IF(F61="","No","Yes")</f>
        <v>Yes</v>
      </c>
      <c r="H61" s="4" t="str">
        <f aca="false">Orders_Raw!F61</f>
        <v>4</v>
      </c>
      <c r="I61" s="4" t="str">
        <f aca="false">IF(H61="","No",IF(H61&lt;=0,"No","Yes"))</f>
        <v>Yes</v>
      </c>
      <c r="J61" s="4" t="str">
        <f aca="false">Orders_Raw!E61</f>
        <v>Speaker</v>
      </c>
      <c r="K61" s="4" t="str">
        <f aca="false">Orders_Raw!H61</f>
        <v>2026-06-02 10:24</v>
      </c>
      <c r="L61" s="4" t="str">
        <f aca="false">IF(COUNTIF(Orders_Raw!$A$5:$A$539,A61)&gt;1,"YES","No")</f>
        <v>No</v>
      </c>
      <c r="M61" s="4" t="str">
        <f aca="false">IF(COUNTIFS($B$5:$B$539,B61,$D$5:$D$539,D61,$F$5:$F$539,F61)&gt;1,"YES","No")</f>
        <v>No</v>
      </c>
      <c r="N61" s="4" t="str">
        <f aca="false">IFERROR(INDEX(Customer_Master!$B$5:$B$64,MATCH(B61,Customer_Master!$A$5:$A$64,0)),"UNMATCHED")</f>
        <v>UNMATCHED</v>
      </c>
      <c r="O61" s="4" t="str">
        <f aca="false">IFERROR(INDEX(Customer_Master!$C$5:$C$64,MATCH(B61,Customer_Master!$A$5:$A$64,0)),"UNMATCHED")</f>
        <v>UNMATCHED</v>
      </c>
      <c r="P61" s="4" t="str">
        <f aca="false">IFERROR(INDEX(Customer_Master!$D$5:$D$64,MATCH(B61,Customer_Master!$A$5:$A$64,0)),"UNMATCHED")</f>
        <v>UNMATCHED</v>
      </c>
      <c r="Q61" s="4" t="str">
        <f aca="false">IF(N61="UNMATCHED","Unmatched","Matched")</f>
        <v>Unmatched</v>
      </c>
      <c r="R61" s="4" t="str">
        <f aca="false">IF(OR(E61="No",G61="No",I61="No",L61="YES",Q61="Unmatched"),"NEEDS REVIEW","OK")</f>
        <v>NEEDS REVIEW</v>
      </c>
    </row>
    <row r="62" customFormat="false" ht="15" hidden="false" customHeight="false" outlineLevel="0" collapsed="false">
      <c r="A62" s="4" t="str">
        <f aca="false">Orders_Raw!A62</f>
        <v>ORD00014</v>
      </c>
      <c r="B62" s="4" t="str">
        <f aca="false">TRIM(UPPER(Orders_Raw!B62))</f>
        <v>CUST0052</v>
      </c>
      <c r="C62" s="4" t="str">
        <f aca="false">PROPER(TRIM(Orders_Raw!C62))</f>
        <v>Mary Adeyemi</v>
      </c>
      <c r="D62" s="6" t="n">
        <f aca="false">IFERROR(DATEVALUE(Orders_Raw!D62),"")</f>
        <v>46029</v>
      </c>
      <c r="E62" s="4" t="str">
        <f aca="false">IF(D62="","No","Yes")</f>
        <v>Yes</v>
      </c>
      <c r="F62" s="4" t="n">
        <f aca="false">IFERROR(VALUE(SUBSTITUTE(SUBSTITUTE(SUBSTITUTE(Orders_Raw!G62,"$",""),"NGN",""),",","")),"")</f>
        <v>1845.36</v>
      </c>
      <c r="G62" s="4" t="str">
        <f aca="false">IF(F62="","No","Yes")</f>
        <v>Yes</v>
      </c>
      <c r="H62" s="4" t="str">
        <f aca="false">Orders_Raw!F62</f>
        <v>5</v>
      </c>
      <c r="I62" s="4" t="str">
        <f aca="false">IF(H62="","No",IF(H62&lt;=0,"No","Yes"))</f>
        <v>Yes</v>
      </c>
      <c r="J62" s="4" t="str">
        <f aca="false">Orders_Raw!E62</f>
        <v>Charger</v>
      </c>
      <c r="K62" s="4" t="str">
        <f aca="false">Orders_Raw!H62</f>
        <v>2026-01-07 12:10</v>
      </c>
      <c r="L62" s="4" t="str">
        <f aca="false">IF(COUNTIF(Orders_Raw!$A$5:$A$539,A62)&gt;1,"YES","No")</f>
        <v>No</v>
      </c>
      <c r="M62" s="4" t="str">
        <f aca="false">IF(COUNTIFS($B$5:$B$539,B62,$D$5:$D$539,D62,$F$5:$F$539,F62)&gt;1,"YES","No")</f>
        <v>No</v>
      </c>
      <c r="N62" s="4" t="str">
        <f aca="false">IFERROR(INDEX(Customer_Master!$B$5:$B$64,MATCH(B62,Customer_Master!$A$5:$A$64,0)),"UNMATCHED")</f>
        <v>Mary Adeyemi</v>
      </c>
      <c r="O62" s="4" t="str">
        <f aca="false">IFERROR(INDEX(Customer_Master!$C$5:$C$64,MATCH(B62,Customer_Master!$A$5:$A$64,0)),"UNMATCHED")</f>
        <v>Loyal</v>
      </c>
      <c r="P62" s="4" t="str">
        <f aca="false">IFERROR(INDEX(Customer_Master!$D$5:$D$64,MATCH(B62,Customer_Master!$A$5:$A$64,0)),"UNMATCHED")</f>
        <v>Abuja</v>
      </c>
      <c r="Q62" s="4" t="str">
        <f aca="false">IF(N62="UNMATCHED","Unmatched","Matched")</f>
        <v>Matched</v>
      </c>
      <c r="R62" s="4" t="str">
        <f aca="false">IF(OR(E62="No",G62="No",I62="No",L62="YES",Q62="Unmatched"),"NEEDS REVIEW","OK")</f>
        <v>OK</v>
      </c>
    </row>
    <row r="63" customFormat="false" ht="15" hidden="false" customHeight="false" outlineLevel="0" collapsed="false">
      <c r="A63" s="4" t="str">
        <f aca="false">Orders_Raw!A63</f>
        <v>ORD00364</v>
      </c>
      <c r="B63" s="4" t="str">
        <f aca="false">TRIM(UPPER(Orders_Raw!B63))</f>
        <v>CUST0039</v>
      </c>
      <c r="C63" s="4" t="str">
        <f aca="false">PROPER(TRIM(Orders_Raw!C63))</f>
        <v>Samuel Lawal</v>
      </c>
      <c r="D63" s="6" t="n">
        <f aca="false">IFERROR(DATEVALUE(Orders_Raw!D63),"")</f>
        <v>46207</v>
      </c>
      <c r="E63" s="4" t="str">
        <f aca="false">IF(D63="","No","Yes")</f>
        <v>Yes</v>
      </c>
      <c r="F63" s="4" t="n">
        <f aca="false">IFERROR(VALUE(SUBSTITUTE(SUBSTITUTE(SUBSTITUTE(Orders_Raw!G63,"$",""),"NGN",""),",","")),"")</f>
        <v>2368.93</v>
      </c>
      <c r="G63" s="4" t="str">
        <f aca="false">IF(F63="","No","Yes")</f>
        <v>Yes</v>
      </c>
      <c r="H63" s="4" t="str">
        <f aca="false">Orders_Raw!F63</f>
        <v>2</v>
      </c>
      <c r="I63" s="4" t="str">
        <f aca="false">IF(H63="","No",IF(H63&lt;=0,"No","Yes"))</f>
        <v>Yes</v>
      </c>
      <c r="J63" s="4" t="str">
        <f aca="false">Orders_Raw!E63</f>
        <v>Printer</v>
      </c>
      <c r="K63" s="4" t="str">
        <f aca="false">Orders_Raw!H63</f>
        <v>2026-07-04 10:14</v>
      </c>
      <c r="L63" s="4" t="str">
        <f aca="false">IF(COUNTIF(Orders_Raw!$A$5:$A$539,A63)&gt;1,"YES","No")</f>
        <v>No</v>
      </c>
      <c r="M63" s="4" t="str">
        <f aca="false">IF(COUNTIFS($B$5:$B$539,B63,$D$5:$D$539,D63,$F$5:$F$539,F63)&gt;1,"YES","No")</f>
        <v>No</v>
      </c>
      <c r="N63" s="4" t="str">
        <f aca="false">IFERROR(INDEX(Customer_Master!$B$5:$B$64,MATCH(B63,Customer_Master!$A$5:$A$64,0)),"UNMATCHED")</f>
        <v>Samuel Lawal</v>
      </c>
      <c r="O63" s="4" t="str">
        <f aca="false">IFERROR(INDEX(Customer_Master!$C$5:$C$64,MATCH(B63,Customer_Master!$A$5:$A$64,0)),"UNMATCHED")</f>
        <v>At Risk</v>
      </c>
      <c r="P63" s="4" t="str">
        <f aca="false">IFERROR(INDEX(Customer_Master!$D$5:$D$64,MATCH(B63,Customer_Master!$A$5:$A$64,0)),"UNMATCHED")</f>
        <v>Kano</v>
      </c>
      <c r="Q63" s="4" t="str">
        <f aca="false">IF(N63="UNMATCHED","Unmatched","Matched")</f>
        <v>Matched</v>
      </c>
      <c r="R63" s="4" t="str">
        <f aca="false">IF(OR(E63="No",G63="No",I63="No",L63="YES",Q63="Unmatched"),"NEEDS REVIEW","OK")</f>
        <v>OK</v>
      </c>
    </row>
    <row r="64" customFormat="false" ht="15" hidden="false" customHeight="false" outlineLevel="0" collapsed="false">
      <c r="A64" s="4" t="str">
        <f aca="false">Orders_Raw!A64</f>
        <v>ORD00283</v>
      </c>
      <c r="B64" s="4" t="str">
        <f aca="false">TRIM(UPPER(Orders_Raw!B64))</f>
        <v>CUST0007</v>
      </c>
      <c r="C64" s="4" t="str">
        <f aca="false">PROPER(TRIM(Orders_Raw!C64))</f>
        <v>Tunde Okonkwo</v>
      </c>
      <c r="D64" s="6" t="str">
        <f aca="false">IFERROR(DATEVALUE(Orders_Raw!D64),"")</f>
        <v/>
      </c>
      <c r="E64" s="4" t="str">
        <f aca="false">IF(D64="","No","Yes")</f>
        <v>No</v>
      </c>
      <c r="F64" s="4" t="n">
        <f aca="false">IFERROR(VALUE(SUBSTITUTE(SUBSTITUTE(SUBSTITUTE(Orders_Raw!G64,"$",""),"NGN",""),",","")),"")</f>
        <v>1967.58</v>
      </c>
      <c r="G64" s="4" t="str">
        <f aca="false">IF(F64="","No","Yes")</f>
        <v>Yes</v>
      </c>
      <c r="H64" s="4" t="str">
        <f aca="false">Orders_Raw!F64</f>
        <v>2</v>
      </c>
      <c r="I64" s="4" t="str">
        <f aca="false">IF(H64="","No",IF(H64&lt;=0,"No","Yes"))</f>
        <v>Yes</v>
      </c>
      <c r="J64" s="4" t="str">
        <f aca="false">Orders_Raw!E64</f>
        <v>Printer</v>
      </c>
      <c r="K64" s="4" t="str">
        <f aca="false">Orders_Raw!H64</f>
        <v>2026-07-19 17:38</v>
      </c>
      <c r="L64" s="4" t="str">
        <f aca="false">IF(COUNTIF(Orders_Raw!$A$5:$A$539,A64)&gt;1,"YES","No")</f>
        <v>No</v>
      </c>
      <c r="M64" s="4" t="str">
        <f aca="false">IF(COUNTIFS($B$5:$B$539,B64,$D$5:$D$539,D64,$F$5:$F$539,F64)&gt;1,"YES","No")</f>
        <v>No</v>
      </c>
      <c r="N64" s="4" t="str">
        <f aca="false">IFERROR(INDEX(Customer_Master!$B$5:$B$64,MATCH(B64,Customer_Master!$A$5:$A$64,0)),"UNMATCHED")</f>
        <v>Tunde Okonkwo</v>
      </c>
      <c r="O64" s="4" t="str">
        <f aca="false">IFERROR(INDEX(Customer_Master!$C$5:$C$64,MATCH(B64,Customer_Master!$A$5:$A$64,0)),"UNMATCHED")</f>
        <v>New</v>
      </c>
      <c r="P64" s="4" t="str">
        <f aca="false">IFERROR(INDEX(Customer_Master!$D$5:$D$64,MATCH(B64,Customer_Master!$A$5:$A$64,0)),"UNMATCHED")</f>
        <v>Ibadan</v>
      </c>
      <c r="Q64" s="4" t="str">
        <f aca="false">IF(N64="UNMATCHED","Unmatched","Matched")</f>
        <v>Matched</v>
      </c>
      <c r="R64" s="4" t="str">
        <f aca="false">IF(OR(E64="No",G64="No",I64="No",L64="YES",Q64="Unmatched"),"NEEDS REVIEW","OK")</f>
        <v>NEEDS REVIEW</v>
      </c>
    </row>
    <row r="65" customFormat="false" ht="15" hidden="false" customHeight="false" outlineLevel="0" collapsed="false">
      <c r="A65" s="4" t="str">
        <f aca="false">Orders_Raw!A65</f>
        <v>ORD00056</v>
      </c>
      <c r="B65" s="4" t="str">
        <f aca="false">TRIM(UPPER(Orders_Raw!B65))</f>
        <v>CUST0006</v>
      </c>
      <c r="C65" s="4" t="str">
        <f aca="false">PROPER(TRIM(Orders_Raw!C65))</f>
        <v>Joy Nwosu</v>
      </c>
      <c r="D65" s="6" t="str">
        <f aca="false">IFERROR(DATEVALUE(Orders_Raw!D65),"")</f>
        <v/>
      </c>
      <c r="E65" s="4" t="str">
        <f aca="false">IF(D65="","No","Yes")</f>
        <v>No</v>
      </c>
      <c r="F65" s="4" t="n">
        <f aca="false">IFERROR(VALUE(SUBSTITUTE(SUBSTITUTE(SUBSTITUTE(Orders_Raw!G65,"$",""),"NGN",""),",","")),"")</f>
        <v>2164.3</v>
      </c>
      <c r="G65" s="4" t="str">
        <f aca="false">IF(F65="","No","Yes")</f>
        <v>Yes</v>
      </c>
      <c r="H65" s="4" t="str">
        <f aca="false">Orders_Raw!F65</f>
        <v>4</v>
      </c>
      <c r="I65" s="4" t="str">
        <f aca="false">IF(H65="","No",IF(H65&lt;=0,"No","Yes"))</f>
        <v>Yes</v>
      </c>
      <c r="J65" s="4" t="str">
        <f aca="false">Orders_Raw!E65</f>
        <v>Laptop</v>
      </c>
      <c r="K65" s="4" t="str">
        <f aca="false">Orders_Raw!H65</f>
        <v>2026-01-30 11:33</v>
      </c>
      <c r="L65" s="4" t="str">
        <f aca="false">IF(COUNTIF(Orders_Raw!$A$5:$A$539,A65)&gt;1,"YES","No")</f>
        <v>No</v>
      </c>
      <c r="M65" s="4" t="str">
        <f aca="false">IF(COUNTIFS($B$5:$B$539,B65,$D$5:$D$539,D65,$F$5:$F$539,F65)&gt;1,"YES","No")</f>
        <v>No</v>
      </c>
      <c r="N65" s="4" t="str">
        <f aca="false">IFERROR(INDEX(Customer_Master!$B$5:$B$64,MATCH(B65,Customer_Master!$A$5:$A$64,0)),"UNMATCHED")</f>
        <v>Joy Nwosu</v>
      </c>
      <c r="O65" s="4" t="str">
        <f aca="false">IFERROR(INDEX(Customer_Master!$C$5:$C$64,MATCH(B65,Customer_Master!$A$5:$A$64,0)),"UNMATCHED")</f>
        <v>New</v>
      </c>
      <c r="P65" s="4" t="str">
        <f aca="false">IFERROR(INDEX(Customer_Master!$D$5:$D$64,MATCH(B65,Customer_Master!$A$5:$A$64,0)),"UNMATCHED")</f>
        <v>Enugu</v>
      </c>
      <c r="Q65" s="4" t="str">
        <f aca="false">IF(N65="UNMATCHED","Unmatched","Matched")</f>
        <v>Matched</v>
      </c>
      <c r="R65" s="4" t="str">
        <f aca="false">IF(OR(E65="No",G65="No",I65="No",L65="YES",Q65="Unmatched"),"NEEDS REVIEW","OK")</f>
        <v>NEEDS REVIEW</v>
      </c>
    </row>
    <row r="66" customFormat="false" ht="15" hidden="false" customHeight="false" outlineLevel="0" collapsed="false">
      <c r="A66" s="4" t="str">
        <f aca="false">Orders_Raw!A66</f>
        <v>ORD00301</v>
      </c>
      <c r="B66" s="4" t="str">
        <f aca="false">TRIM(UPPER(Orders_Raw!B66))</f>
        <v>CUST0004</v>
      </c>
      <c r="C66" s="4" t="str">
        <f aca="false">PROPER(TRIM(Orders_Raw!C66))</f>
        <v>Grace Duru</v>
      </c>
      <c r="D66" s="6" t="n">
        <f aca="false">IFERROR(DATEVALUE(Orders_Raw!D66),"")</f>
        <v>46217</v>
      </c>
      <c r="E66" s="4" t="str">
        <f aca="false">IF(D66="","No","Yes")</f>
        <v>Yes</v>
      </c>
      <c r="F66" s="4" t="n">
        <f aca="false">IFERROR(VALUE(SUBSTITUTE(SUBSTITUTE(SUBSTITUTE(Orders_Raw!G66,"$",""),"NGN",""),",","")),"")</f>
        <v>1447.05</v>
      </c>
      <c r="G66" s="4" t="str">
        <f aca="false">IF(F66="","No","Yes")</f>
        <v>Yes</v>
      </c>
      <c r="H66" s="4" t="str">
        <f aca="false">Orders_Raw!F66</f>
        <v>2</v>
      </c>
      <c r="I66" s="4" t="str">
        <f aca="false">IF(H66="","No",IF(H66&lt;=0,"No","Yes"))</f>
        <v>Yes</v>
      </c>
      <c r="J66" s="4" t="str">
        <f aca="false">Orders_Raw!E66</f>
        <v>Headphones</v>
      </c>
      <c r="K66" s="4" t="str">
        <f aca="false">Orders_Raw!H66</f>
        <v>2026-07-14 17:27</v>
      </c>
      <c r="L66" s="4" t="str">
        <f aca="false">IF(COUNTIF(Orders_Raw!$A$5:$A$539,A66)&gt;1,"YES","No")</f>
        <v>No</v>
      </c>
      <c r="M66" s="4" t="str">
        <f aca="false">IF(COUNTIFS($B$5:$B$539,B66,$D$5:$D$539,D66,$F$5:$F$539,F66)&gt;1,"YES","No")</f>
        <v>No</v>
      </c>
      <c r="N66" s="4" t="str">
        <f aca="false">IFERROR(INDEX(Customer_Master!$B$5:$B$64,MATCH(B66,Customer_Master!$A$5:$A$64,0)),"UNMATCHED")</f>
        <v>Grace Duru</v>
      </c>
      <c r="O66" s="4" t="str">
        <f aca="false">IFERROR(INDEX(Customer_Master!$C$5:$C$64,MATCH(B66,Customer_Master!$A$5:$A$64,0)),"UNMATCHED")</f>
        <v>Champions</v>
      </c>
      <c r="P66" s="4" t="str">
        <f aca="false">IFERROR(INDEX(Customer_Master!$D$5:$D$64,MATCH(B66,Customer_Master!$A$5:$A$64,0)),"UNMATCHED")</f>
        <v>Kano</v>
      </c>
      <c r="Q66" s="4" t="str">
        <f aca="false">IF(N66="UNMATCHED","Unmatched","Matched")</f>
        <v>Matched</v>
      </c>
      <c r="R66" s="4" t="str">
        <f aca="false">IF(OR(E66="No",G66="No",I66="No",L66="YES",Q66="Unmatched"),"NEEDS REVIEW","OK")</f>
        <v>OK</v>
      </c>
    </row>
    <row r="67" customFormat="false" ht="15" hidden="false" customHeight="false" outlineLevel="0" collapsed="false">
      <c r="A67" s="4" t="str">
        <f aca="false">Orders_Raw!A67</f>
        <v>ORD00126</v>
      </c>
      <c r="B67" s="4" t="str">
        <f aca="false">TRIM(UPPER(Orders_Raw!B67))</f>
        <v>CUST0021</v>
      </c>
      <c r="C67" s="4" t="str">
        <f aca="false">PROPER(TRIM(Orders_Raw!C67))</f>
        <v>Joy Ajayi</v>
      </c>
      <c r="D67" s="6" t="str">
        <f aca="false">IFERROR(DATEVALUE(Orders_Raw!D67),"")</f>
        <v/>
      </c>
      <c r="E67" s="4" t="str">
        <f aca="false">IF(D67="","No","Yes")</f>
        <v>No</v>
      </c>
      <c r="F67" s="4" t="n">
        <f aca="false">IFERROR(VALUE(SUBSTITUTE(SUBSTITUTE(SUBSTITUTE(Orders_Raw!G67,"$",""),"NGN",""),",","")),"")</f>
        <v>1512.51</v>
      </c>
      <c r="G67" s="4" t="str">
        <f aca="false">IF(F67="","No","Yes")</f>
        <v>Yes</v>
      </c>
      <c r="H67" s="4" t="str">
        <f aca="false">Orders_Raw!F67</f>
        <v>1</v>
      </c>
      <c r="I67" s="4" t="str">
        <f aca="false">IF(H67="","No",IF(H67&lt;=0,"No","Yes"))</f>
        <v>Yes</v>
      </c>
      <c r="J67" s="4" t="str">
        <f aca="false">Orders_Raw!E67</f>
        <v>Laptop</v>
      </c>
      <c r="K67" s="4" t="str">
        <f aca="false">Orders_Raw!H67</f>
        <v>2026-03-20 13:39</v>
      </c>
      <c r="L67" s="4" t="str">
        <f aca="false">IF(COUNTIF(Orders_Raw!$A$5:$A$539,A67)&gt;1,"YES","No")</f>
        <v>No</v>
      </c>
      <c r="M67" s="4" t="str">
        <f aca="false">IF(COUNTIFS($B$5:$B$539,B67,$D$5:$D$539,D67,$F$5:$F$539,F67)&gt;1,"YES","No")</f>
        <v>No</v>
      </c>
      <c r="N67" s="4" t="str">
        <f aca="false">IFERROR(INDEX(Customer_Master!$B$5:$B$64,MATCH(B67,Customer_Master!$A$5:$A$64,0)),"UNMATCHED")</f>
        <v>Joy Ajayi</v>
      </c>
      <c r="O67" s="4" t="str">
        <f aca="false">IFERROR(INDEX(Customer_Master!$C$5:$C$64,MATCH(B67,Customer_Master!$A$5:$A$64,0)),"UNMATCHED")</f>
        <v>Loyal</v>
      </c>
      <c r="P67" s="4" t="str">
        <f aca="false">IFERROR(INDEX(Customer_Master!$D$5:$D$64,MATCH(B67,Customer_Master!$A$5:$A$64,0)),"UNMATCHED")</f>
        <v>Kaduna</v>
      </c>
      <c r="Q67" s="4" t="str">
        <f aca="false">IF(N67="UNMATCHED","Unmatched","Matched")</f>
        <v>Matched</v>
      </c>
      <c r="R67" s="4" t="str">
        <f aca="false">IF(OR(E67="No",G67="No",I67="No",L67="YES",Q67="Unmatched"),"NEEDS REVIEW","OK")</f>
        <v>NEEDS REVIEW</v>
      </c>
    </row>
    <row r="68" customFormat="false" ht="15" hidden="false" customHeight="false" outlineLevel="0" collapsed="false">
      <c r="A68" s="4" t="str">
        <f aca="false">Orders_Raw!A68</f>
        <v>ORD00201</v>
      </c>
      <c r="B68" s="4" t="str">
        <f aca="false">TRIM(UPPER(Orders_Raw!B68))</f>
        <v>CUST0026</v>
      </c>
      <c r="C68" s="4" t="str">
        <f aca="false">PROPER(TRIM(Orders_Raw!C68))</f>
        <v>Amaka Yakubu</v>
      </c>
      <c r="D68" s="6" t="n">
        <f aca="false">IFERROR(DATEVALUE(Orders_Raw!D68),"")</f>
        <v>46120</v>
      </c>
      <c r="E68" s="4" t="str">
        <f aca="false">IF(D68="","No","Yes")</f>
        <v>Yes</v>
      </c>
      <c r="F68" s="4" t="n">
        <f aca="false">IFERROR(VALUE(SUBSTITUTE(SUBSTITUTE(SUBSTITUTE(Orders_Raw!G68,"$",""),"NGN",""),",","")),"")</f>
        <v>1108.95</v>
      </c>
      <c r="G68" s="4" t="str">
        <f aca="false">IF(F68="","No","Yes")</f>
        <v>Yes</v>
      </c>
      <c r="H68" s="4" t="str">
        <f aca="false">Orders_Raw!F68</f>
        <v>5</v>
      </c>
      <c r="I68" s="4" t="str">
        <f aca="false">IF(H68="","No",IF(H68&lt;=0,"No","Yes"))</f>
        <v>Yes</v>
      </c>
      <c r="J68" s="4" t="str">
        <f aca="false">Orders_Raw!E68</f>
        <v>Speaker</v>
      </c>
      <c r="K68" s="4" t="str">
        <f aca="false">Orders_Raw!H68</f>
        <v>2026-04-08 10:19</v>
      </c>
      <c r="L68" s="4" t="str">
        <f aca="false">IF(COUNTIF(Orders_Raw!$A$5:$A$539,A68)&gt;1,"YES","No")</f>
        <v>No</v>
      </c>
      <c r="M68" s="4" t="str">
        <f aca="false">IF(COUNTIFS($B$5:$B$539,B68,$D$5:$D$539,D68,$F$5:$F$539,F68)&gt;1,"YES","No")</f>
        <v>No</v>
      </c>
      <c r="N68" s="4" t="str">
        <f aca="false">IFERROR(INDEX(Customer_Master!$B$5:$B$64,MATCH(B68,Customer_Master!$A$5:$A$64,0)),"UNMATCHED")</f>
        <v>Amaka Yakubu</v>
      </c>
      <c r="O68" s="4" t="str">
        <f aca="false">IFERROR(INDEX(Customer_Master!$C$5:$C$64,MATCH(B68,Customer_Master!$A$5:$A$64,0)),"UNMATCHED")</f>
        <v>Lost / Low-Value</v>
      </c>
      <c r="P68" s="4" t="str">
        <f aca="false">IFERROR(INDEX(Customer_Master!$D$5:$D$64,MATCH(B68,Customer_Master!$A$5:$A$64,0)),"UNMATCHED")</f>
        <v>Kaduna</v>
      </c>
      <c r="Q68" s="4" t="str">
        <f aca="false">IF(N68="UNMATCHED","Unmatched","Matched")</f>
        <v>Matched</v>
      </c>
      <c r="R68" s="4" t="str">
        <f aca="false">IF(OR(E68="No",G68="No",I68="No",L68="YES",Q68="Unmatched"),"NEEDS REVIEW","OK")</f>
        <v>OK</v>
      </c>
    </row>
    <row r="69" customFormat="false" ht="15" hidden="false" customHeight="false" outlineLevel="0" collapsed="false">
      <c r="A69" s="4" t="str">
        <f aca="false">Orders_Raw!A69</f>
        <v>ORD00350</v>
      </c>
      <c r="B69" s="4" t="str">
        <f aca="false">TRIM(UPPER(Orders_Raw!B69))</f>
        <v>CUST0038</v>
      </c>
      <c r="C69" s="4" t="str">
        <f aca="false">PROPER(TRIM(Orders_Raw!C69))</f>
        <v>James Sani</v>
      </c>
      <c r="D69" s="6" t="n">
        <f aca="false">IFERROR(DATEVALUE(Orders_Raw!D69),"")</f>
        <v>46114</v>
      </c>
      <c r="E69" s="4" t="str">
        <f aca="false">IF(D69="","No","Yes")</f>
        <v>Yes</v>
      </c>
      <c r="F69" s="4" t="n">
        <f aca="false">IFERROR(VALUE(SUBSTITUTE(SUBSTITUTE(SUBSTITUTE(Orders_Raw!G69,"$",""),"NGN",""),",","")),"")</f>
        <v>1683.17</v>
      </c>
      <c r="G69" s="4" t="str">
        <f aca="false">IF(F69="","No","Yes")</f>
        <v>Yes</v>
      </c>
      <c r="H69" s="4" t="str">
        <f aca="false">Orders_Raw!F69</f>
        <v>1</v>
      </c>
      <c r="I69" s="4" t="str">
        <f aca="false">IF(H69="","No",IF(H69&lt;=0,"No","Yes"))</f>
        <v>Yes</v>
      </c>
      <c r="J69" s="4" t="str">
        <f aca="false">Orders_Raw!E69</f>
        <v>Charger</v>
      </c>
      <c r="K69" s="4" t="str">
        <f aca="false">Orders_Raw!H69</f>
        <v>2026-04-02 13:31</v>
      </c>
      <c r="L69" s="4" t="str">
        <f aca="false">IF(COUNTIF(Orders_Raw!$A$5:$A$539,A69)&gt;1,"YES","No")</f>
        <v>No</v>
      </c>
      <c r="M69" s="4" t="str">
        <f aca="false">IF(COUNTIFS($B$5:$B$539,B69,$D$5:$D$539,D69,$F$5:$F$539,F69)&gt;1,"YES","No")</f>
        <v>No</v>
      </c>
      <c r="N69" s="4" t="str">
        <f aca="false">IFERROR(INDEX(Customer_Master!$B$5:$B$64,MATCH(B69,Customer_Master!$A$5:$A$64,0)),"UNMATCHED")</f>
        <v>James Sani</v>
      </c>
      <c r="O69" s="4" t="str">
        <f aca="false">IFERROR(INDEX(Customer_Master!$C$5:$C$64,MATCH(B69,Customer_Master!$A$5:$A$64,0)),"UNMATCHED")</f>
        <v>New</v>
      </c>
      <c r="P69" s="4" t="str">
        <f aca="false">IFERROR(INDEX(Customer_Master!$D$5:$D$64,MATCH(B69,Customer_Master!$A$5:$A$64,0)),"UNMATCHED")</f>
        <v>Port Harcourt</v>
      </c>
      <c r="Q69" s="4" t="str">
        <f aca="false">IF(N69="UNMATCHED","Unmatched","Matched")</f>
        <v>Matched</v>
      </c>
      <c r="R69" s="4" t="str">
        <f aca="false">IF(OR(E69="No",G69="No",I69="No",L69="YES",Q69="Unmatched"),"NEEDS REVIEW","OK")</f>
        <v>OK</v>
      </c>
    </row>
    <row r="70" customFormat="false" ht="15" hidden="false" customHeight="false" outlineLevel="0" collapsed="false">
      <c r="A70" s="4" t="str">
        <f aca="false">Orders_Raw!A70</f>
        <v>ORD00289</v>
      </c>
      <c r="B70" s="4" t="str">
        <f aca="false">TRIM(UPPER(Orders_Raw!B70))</f>
        <v>CUST0041</v>
      </c>
      <c r="C70" s="4" t="str">
        <f aca="false">PROPER(TRIM(Orders_Raw!C70))</f>
        <v>Kemi Umeh</v>
      </c>
      <c r="D70" s="6" t="n">
        <f aca="false">IFERROR(DATEVALUE(Orders_Raw!D70),"")</f>
        <v>46084</v>
      </c>
      <c r="E70" s="4" t="str">
        <f aca="false">IF(D70="","No","Yes")</f>
        <v>Yes</v>
      </c>
      <c r="F70" s="4" t="n">
        <f aca="false">IFERROR(VALUE(SUBSTITUTE(SUBSTITUTE(SUBSTITUTE(Orders_Raw!G70,"$",""),"NGN",""),",","")),"")</f>
        <v>1229.64</v>
      </c>
      <c r="G70" s="4" t="str">
        <f aca="false">IF(F70="","No","Yes")</f>
        <v>Yes</v>
      </c>
      <c r="H70" s="4" t="str">
        <f aca="false">Orders_Raw!F70</f>
        <v>1</v>
      </c>
      <c r="I70" s="4" t="str">
        <f aca="false">IF(H70="","No",IF(H70&lt;=0,"No","Yes"))</f>
        <v>Yes</v>
      </c>
      <c r="J70" s="4" t="str">
        <f aca="false">Orders_Raw!E70</f>
        <v>Tablet</v>
      </c>
      <c r="K70" s="4" t="str">
        <f aca="false">Orders_Raw!H70</f>
        <v>2026-03-03 13:22</v>
      </c>
      <c r="L70" s="4" t="str">
        <f aca="false">IF(COUNTIF(Orders_Raw!$A$5:$A$539,A70)&gt;1,"YES","No")</f>
        <v>No</v>
      </c>
      <c r="M70" s="4" t="str">
        <f aca="false">IF(COUNTIFS($B$5:$B$539,B70,$D$5:$D$539,D70,$F$5:$F$539,F70)&gt;1,"YES","No")</f>
        <v>No</v>
      </c>
      <c r="N70" s="4" t="str">
        <f aca="false">IFERROR(INDEX(Customer_Master!$B$5:$B$64,MATCH(B70,Customer_Master!$A$5:$A$64,0)),"UNMATCHED")</f>
        <v>Kemi Umeh</v>
      </c>
      <c r="O70" s="4" t="str">
        <f aca="false">IFERROR(INDEX(Customer_Master!$C$5:$C$64,MATCH(B70,Customer_Master!$A$5:$A$64,0)),"UNMATCHED")</f>
        <v>Lost / Low-Value</v>
      </c>
      <c r="P70" s="4" t="str">
        <f aca="false">IFERROR(INDEX(Customer_Master!$D$5:$D$64,MATCH(B70,Customer_Master!$A$5:$A$64,0)),"UNMATCHED")</f>
        <v>Lagos</v>
      </c>
      <c r="Q70" s="4" t="str">
        <f aca="false">IF(N70="UNMATCHED","Unmatched","Matched")</f>
        <v>Matched</v>
      </c>
      <c r="R70" s="4" t="str">
        <f aca="false">IF(OR(E70="No",G70="No",I70="No",L70="YES",Q70="Unmatched"),"NEEDS REVIEW","OK")</f>
        <v>OK</v>
      </c>
    </row>
    <row r="71" customFormat="false" ht="15" hidden="false" customHeight="false" outlineLevel="0" collapsed="false">
      <c r="A71" s="4" t="str">
        <f aca="false">Orders_Raw!A71</f>
        <v>ORD00307</v>
      </c>
      <c r="B71" s="4" t="str">
        <f aca="false">TRIM(UPPER(Orders_Raw!B71))</f>
        <v>CUSTO002</v>
      </c>
      <c r="C71" s="4" t="str">
        <f aca="false">PROPER(TRIM(Orders_Raw!C71))</f>
        <v>Tunde Ajayi</v>
      </c>
      <c r="D71" s="6" t="str">
        <f aca="false">IFERROR(DATEVALUE(Orders_Raw!D71),"")</f>
        <v/>
      </c>
      <c r="E71" s="4" t="str">
        <f aca="false">IF(D71="","No","Yes")</f>
        <v>No</v>
      </c>
      <c r="F71" s="4" t="n">
        <f aca="false">IFERROR(VALUE(SUBSTITUTE(SUBSTITUTE(SUBSTITUTE(Orders_Raw!G71,"$",""),"NGN",""),",","")),"")</f>
        <v>322.13</v>
      </c>
      <c r="G71" s="4" t="str">
        <f aca="false">IF(F71="","No","Yes")</f>
        <v>Yes</v>
      </c>
      <c r="H71" s="4" t="str">
        <f aca="false">Orders_Raw!F71</f>
        <v>2</v>
      </c>
      <c r="I71" s="4" t="str">
        <f aca="false">IF(H71="","No",IF(H71&lt;=0,"No","Yes"))</f>
        <v>Yes</v>
      </c>
      <c r="J71" s="4" t="str">
        <f aca="false">Orders_Raw!E71</f>
        <v>Laptop</v>
      </c>
      <c r="K71" s="4" t="str">
        <f aca="false">Orders_Raw!H71</f>
        <v>2026-04-24 12:26</v>
      </c>
      <c r="L71" s="4" t="str">
        <f aca="false">IF(COUNTIF(Orders_Raw!$A$5:$A$539,A71)&gt;1,"YES","No")</f>
        <v>No</v>
      </c>
      <c r="M71" s="4" t="str">
        <f aca="false">IF(COUNTIFS($B$5:$B$539,B71,$D$5:$D$539,D71,$F$5:$F$539,F71)&gt;1,"YES","No")</f>
        <v>No</v>
      </c>
      <c r="N71" s="4" t="str">
        <f aca="false">IFERROR(INDEX(Customer_Master!$B$5:$B$64,MATCH(B71,Customer_Master!$A$5:$A$64,0)),"UNMATCHED")</f>
        <v>UNMATCHED</v>
      </c>
      <c r="O71" s="4" t="str">
        <f aca="false">IFERROR(INDEX(Customer_Master!$C$5:$C$64,MATCH(B71,Customer_Master!$A$5:$A$64,0)),"UNMATCHED")</f>
        <v>UNMATCHED</v>
      </c>
      <c r="P71" s="4" t="str">
        <f aca="false">IFERROR(INDEX(Customer_Master!$D$5:$D$64,MATCH(B71,Customer_Master!$A$5:$A$64,0)),"UNMATCHED")</f>
        <v>UNMATCHED</v>
      </c>
      <c r="Q71" s="4" t="str">
        <f aca="false">IF(N71="UNMATCHED","Unmatched","Matched")</f>
        <v>Unmatched</v>
      </c>
      <c r="R71" s="4" t="str">
        <f aca="false">IF(OR(E71="No",G71="No",I71="No",L71="YES",Q71="Unmatched"),"NEEDS REVIEW","OK")</f>
        <v>NEEDS REVIEW</v>
      </c>
    </row>
    <row r="72" customFormat="false" ht="15" hidden="false" customHeight="false" outlineLevel="0" collapsed="false">
      <c r="A72" s="4" t="str">
        <f aca="false">Orders_Raw!A72</f>
        <v>ORD00133</v>
      </c>
      <c r="B72" s="4" t="str">
        <f aca="false">TRIM(UPPER(Orders_Raw!B72))</f>
        <v>CUST0037</v>
      </c>
      <c r="C72" s="4" t="str">
        <f aca="false">PROPER(TRIM(Orders_Raw!C72))</f>
        <v>Blessing Obi</v>
      </c>
      <c r="D72" s="6" t="n">
        <f aca="false">IFERROR(DATEVALUE(Orders_Raw!D72),"")</f>
        <v>46056</v>
      </c>
      <c r="E72" s="4" t="str">
        <f aca="false">IF(D72="","No","Yes")</f>
        <v>Yes</v>
      </c>
      <c r="F72" s="4" t="n">
        <f aca="false">IFERROR(VALUE(SUBSTITUTE(SUBSTITUTE(SUBSTITUTE(Orders_Raw!G72,"$",""),"NGN",""),",","")),"")</f>
        <v>2212.35</v>
      </c>
      <c r="G72" s="4" t="str">
        <f aca="false">IF(F72="","No","Yes")</f>
        <v>Yes</v>
      </c>
      <c r="H72" s="4" t="str">
        <f aca="false">Orders_Raw!F72</f>
        <v>2</v>
      </c>
      <c r="I72" s="4" t="str">
        <f aca="false">IF(H72="","No",IF(H72&lt;=0,"No","Yes"))</f>
        <v>Yes</v>
      </c>
      <c r="J72" s="4" t="str">
        <f aca="false">Orders_Raw!E72</f>
        <v>Printer</v>
      </c>
      <c r="K72" s="4" t="str">
        <f aca="false">Orders_Raw!H72</f>
        <v>2026-02-03 16:26</v>
      </c>
      <c r="L72" s="4" t="str">
        <f aca="false">IF(COUNTIF(Orders_Raw!$A$5:$A$539,A72)&gt;1,"YES","No")</f>
        <v>No</v>
      </c>
      <c r="M72" s="4" t="str">
        <f aca="false">IF(COUNTIFS($B$5:$B$539,B72,$D$5:$D$539,D72,$F$5:$F$539,F72)&gt;1,"YES","No")</f>
        <v>No</v>
      </c>
      <c r="N72" s="4" t="str">
        <f aca="false">IFERROR(INDEX(Customer_Master!$B$5:$B$64,MATCH(B72,Customer_Master!$A$5:$A$64,0)),"UNMATCHED")</f>
        <v>Blessing Obi</v>
      </c>
      <c r="O72" s="4" t="str">
        <f aca="false">IFERROR(INDEX(Customer_Master!$C$5:$C$64,MATCH(B72,Customer_Master!$A$5:$A$64,0)),"UNMATCHED")</f>
        <v>Lost / Low-Value</v>
      </c>
      <c r="P72" s="4" t="str">
        <f aca="false">IFERROR(INDEX(Customer_Master!$D$5:$D$64,MATCH(B72,Customer_Master!$A$5:$A$64,0)),"UNMATCHED")</f>
        <v>Lagos</v>
      </c>
      <c r="Q72" s="4" t="str">
        <f aca="false">IF(N72="UNMATCHED","Unmatched","Matched")</f>
        <v>Matched</v>
      </c>
      <c r="R72" s="4" t="str">
        <f aca="false">IF(OR(E72="No",G72="No",I72="No",L72="YES",Q72="Unmatched"),"NEEDS REVIEW","OK")</f>
        <v>OK</v>
      </c>
    </row>
    <row r="73" customFormat="false" ht="15" hidden="false" customHeight="false" outlineLevel="0" collapsed="false">
      <c r="A73" s="4" t="str">
        <f aca="false">Orders_Raw!A73</f>
        <v>ORD00141</v>
      </c>
      <c r="B73" s="4" t="str">
        <f aca="false">TRIM(UPPER(Orders_Raw!B73))</f>
        <v>CUST0024</v>
      </c>
      <c r="C73" s="4" t="str">
        <f aca="false">PROPER(TRIM(Orders_Raw!C73))</f>
        <v>Aisha Adeyemi</v>
      </c>
      <c r="D73" s="6" t="n">
        <f aca="false">IFERROR(DATEVALUE(Orders_Raw!D73),"")</f>
        <v>46104</v>
      </c>
      <c r="E73" s="4" t="str">
        <f aca="false">IF(D73="","No","Yes")</f>
        <v>Yes</v>
      </c>
      <c r="F73" s="4" t="n">
        <f aca="false">IFERROR(VALUE(SUBSTITUTE(SUBSTITUTE(SUBSTITUTE(Orders_Raw!G73,"$",""),"NGN",""),",","")),"")</f>
        <v>1174.18</v>
      </c>
      <c r="G73" s="4" t="str">
        <f aca="false">IF(F73="","No","Yes")</f>
        <v>Yes</v>
      </c>
      <c r="H73" s="4" t="str">
        <f aca="false">Orders_Raw!F73</f>
        <v>2</v>
      </c>
      <c r="I73" s="4" t="str">
        <f aca="false">IF(H73="","No",IF(H73&lt;=0,"No","Yes"))</f>
        <v>Yes</v>
      </c>
      <c r="J73" s="4" t="str">
        <f aca="false">Orders_Raw!E73</f>
        <v>Mouse</v>
      </c>
      <c r="K73" s="4" t="str">
        <f aca="false">Orders_Raw!H73</f>
        <v>2026-03-23 14:55</v>
      </c>
      <c r="L73" s="4" t="str">
        <f aca="false">IF(COUNTIF(Orders_Raw!$A$5:$A$539,A73)&gt;1,"YES","No")</f>
        <v>YES</v>
      </c>
      <c r="M73" s="4" t="str">
        <f aca="false">IF(COUNTIFS($B$5:$B$539,B73,$D$5:$D$539,D73,$F$5:$F$539,F73)&gt;1,"YES","No")</f>
        <v>YES</v>
      </c>
      <c r="N73" s="4" t="str">
        <f aca="false">IFERROR(INDEX(Customer_Master!$B$5:$B$64,MATCH(B73,Customer_Master!$A$5:$A$64,0)),"UNMATCHED")</f>
        <v>Aisha Adeyemi</v>
      </c>
      <c r="O73" s="4" t="str">
        <f aca="false">IFERROR(INDEX(Customer_Master!$C$5:$C$64,MATCH(B73,Customer_Master!$A$5:$A$64,0)),"UNMATCHED")</f>
        <v>At Risk</v>
      </c>
      <c r="P73" s="4" t="str">
        <f aca="false">IFERROR(INDEX(Customer_Master!$D$5:$D$64,MATCH(B73,Customer_Master!$A$5:$A$64,0)),"UNMATCHED")</f>
        <v>Enugu</v>
      </c>
      <c r="Q73" s="4" t="str">
        <f aca="false">IF(N73="UNMATCHED","Unmatched","Matched")</f>
        <v>Matched</v>
      </c>
      <c r="R73" s="4" t="str">
        <f aca="false">IF(OR(E73="No",G73="No",I73="No",L73="YES",Q73="Unmatched"),"NEEDS REVIEW","OK")</f>
        <v>NEEDS REVIEW</v>
      </c>
    </row>
    <row r="74" customFormat="false" ht="15" hidden="false" customHeight="false" outlineLevel="0" collapsed="false">
      <c r="A74" s="4" t="str">
        <f aca="false">Orders_Raw!A74</f>
        <v>ORD00050</v>
      </c>
      <c r="B74" s="4" t="str">
        <f aca="false">TRIM(UPPER(Orders_Raw!B74))</f>
        <v>CUST0019</v>
      </c>
      <c r="C74" s="4" t="str">
        <f aca="false">PROPER(TRIM(Orders_Raw!C74))</f>
        <v>Ifeoma Chukwu</v>
      </c>
      <c r="D74" s="6" t="str">
        <f aca="false">IFERROR(DATEVALUE(Orders_Raw!D74),"")</f>
        <v/>
      </c>
      <c r="E74" s="4" t="str">
        <f aca="false">IF(D74="","No","Yes")</f>
        <v>No</v>
      </c>
      <c r="F74" s="4" t="n">
        <f aca="false">IFERROR(VALUE(SUBSTITUTE(SUBSTITUTE(SUBSTITUTE(Orders_Raw!G74,"$",""),"NGN",""),",","")),"")</f>
        <v>191.88</v>
      </c>
      <c r="G74" s="4" t="str">
        <f aca="false">IF(F74="","No","Yes")</f>
        <v>Yes</v>
      </c>
      <c r="H74" s="4" t="str">
        <f aca="false">Orders_Raw!F74</f>
        <v>2</v>
      </c>
      <c r="I74" s="4" t="str">
        <f aca="false">IF(H74="","No",IF(H74&lt;=0,"No","Yes"))</f>
        <v>Yes</v>
      </c>
      <c r="J74" s="4" t="str">
        <f aca="false">Orders_Raw!E74</f>
        <v>Charger</v>
      </c>
      <c r="K74" s="4" t="str">
        <f aca="false">Orders_Raw!H74</f>
        <v>2026-06-29 14:07</v>
      </c>
      <c r="L74" s="4" t="str">
        <f aca="false">IF(COUNTIF(Orders_Raw!$A$5:$A$539,A74)&gt;1,"YES","No")</f>
        <v>No</v>
      </c>
      <c r="M74" s="4" t="str">
        <f aca="false">IF(COUNTIFS($B$5:$B$539,B74,$D$5:$D$539,D74,$F$5:$F$539,F74)&gt;1,"YES","No")</f>
        <v>No</v>
      </c>
      <c r="N74" s="4" t="str">
        <f aca="false">IFERROR(INDEX(Customer_Master!$B$5:$B$64,MATCH(B74,Customer_Master!$A$5:$A$64,0)),"UNMATCHED")</f>
        <v>Ifeoma Chukwu</v>
      </c>
      <c r="O74" s="4" t="str">
        <f aca="false">IFERROR(INDEX(Customer_Master!$C$5:$C$64,MATCH(B74,Customer_Master!$A$5:$A$64,0)),"UNMATCHED")</f>
        <v>Loyal</v>
      </c>
      <c r="P74" s="4" t="str">
        <f aca="false">IFERROR(INDEX(Customer_Master!$D$5:$D$64,MATCH(B74,Customer_Master!$A$5:$A$64,0)),"UNMATCHED")</f>
        <v>Ibadan</v>
      </c>
      <c r="Q74" s="4" t="str">
        <f aca="false">IF(N74="UNMATCHED","Unmatched","Matched")</f>
        <v>Matched</v>
      </c>
      <c r="R74" s="4" t="str">
        <f aca="false">IF(OR(E74="No",G74="No",I74="No",L74="YES",Q74="Unmatched"),"NEEDS REVIEW","OK")</f>
        <v>NEEDS REVIEW</v>
      </c>
    </row>
    <row r="75" customFormat="false" ht="15" hidden="false" customHeight="false" outlineLevel="0" collapsed="false">
      <c r="A75" s="4" t="str">
        <f aca="false">Orders_Raw!A75</f>
        <v>ORD00154</v>
      </c>
      <c r="B75" s="4" t="str">
        <f aca="false">TRIM(UPPER(Orders_Raw!B75))</f>
        <v>CUST0015</v>
      </c>
      <c r="C75" s="4" t="str">
        <f aca="false">PROPER(TRIM(Orders_Raw!C75))</f>
        <v>Ahmed Nwosu</v>
      </c>
      <c r="D75" s="6" t="n">
        <f aca="false">IFERROR(DATEVALUE(Orders_Raw!D75),"")</f>
        <v>46220</v>
      </c>
      <c r="E75" s="4" t="str">
        <f aca="false">IF(D75="","No","Yes")</f>
        <v>Yes</v>
      </c>
      <c r="F75" s="4" t="n">
        <f aca="false">IFERROR(VALUE(SUBSTITUTE(SUBSTITUTE(SUBSTITUTE(Orders_Raw!G75,"$",""),"NGN",""),",","")),"")</f>
        <v>1766.68</v>
      </c>
      <c r="G75" s="4" t="str">
        <f aca="false">IF(F75="","No","Yes")</f>
        <v>Yes</v>
      </c>
      <c r="H75" s="4" t="str">
        <f aca="false">Orders_Raw!F75</f>
        <v>2</v>
      </c>
      <c r="I75" s="4" t="str">
        <f aca="false">IF(H75="","No",IF(H75&lt;=0,"No","Yes"))</f>
        <v>Yes</v>
      </c>
      <c r="J75" s="4" t="str">
        <f aca="false">Orders_Raw!E75</f>
        <v>Mouse</v>
      </c>
      <c r="K75" s="4" t="str">
        <f aca="false">Orders_Raw!H75</f>
        <v>2026-07-17 12:07</v>
      </c>
      <c r="L75" s="4" t="str">
        <f aca="false">IF(COUNTIF(Orders_Raw!$A$5:$A$539,A75)&gt;1,"YES","No")</f>
        <v>No</v>
      </c>
      <c r="M75" s="4" t="str">
        <f aca="false">IF(COUNTIFS($B$5:$B$539,B75,$D$5:$D$539,D75,$F$5:$F$539,F75)&gt;1,"YES","No")</f>
        <v>No</v>
      </c>
      <c r="N75" s="4" t="str">
        <f aca="false">IFERROR(INDEX(Customer_Master!$B$5:$B$64,MATCH(B75,Customer_Master!$A$5:$A$64,0)),"UNMATCHED")</f>
        <v>Ahmed Nwosu</v>
      </c>
      <c r="O75" s="4" t="str">
        <f aca="false">IFERROR(INDEX(Customer_Master!$C$5:$C$64,MATCH(B75,Customer_Master!$A$5:$A$64,0)),"UNMATCHED")</f>
        <v>Champions</v>
      </c>
      <c r="P75" s="4" t="str">
        <f aca="false">IFERROR(INDEX(Customer_Master!$D$5:$D$64,MATCH(B75,Customer_Master!$A$5:$A$64,0)),"UNMATCHED")</f>
        <v>Lagos</v>
      </c>
      <c r="Q75" s="4" t="str">
        <f aca="false">IF(N75="UNMATCHED","Unmatched","Matched")</f>
        <v>Matched</v>
      </c>
      <c r="R75" s="4" t="str">
        <f aca="false">IF(OR(E75="No",G75="No",I75="No",L75="YES",Q75="Unmatched"),"NEEDS REVIEW","OK")</f>
        <v>OK</v>
      </c>
    </row>
    <row r="76" customFormat="false" ht="15" hidden="false" customHeight="false" outlineLevel="0" collapsed="false">
      <c r="A76" s="4" t="str">
        <f aca="false">Orders_Raw!A76</f>
        <v>ORD00055</v>
      </c>
      <c r="B76" s="4" t="str">
        <f aca="false">TRIM(UPPER(Orders_Raw!B76))</f>
        <v>CUST0027</v>
      </c>
      <c r="C76" s="4" t="str">
        <f aca="false">PROPER(TRIM(Orders_Raw!C76))</f>
        <v>Yusuf Sani</v>
      </c>
      <c r="D76" s="6" t="n">
        <f aca="false">IFERROR(DATEVALUE(Orders_Raw!D76),"")</f>
        <v>46064</v>
      </c>
      <c r="E76" s="4" t="str">
        <f aca="false">IF(D76="","No","Yes")</f>
        <v>Yes</v>
      </c>
      <c r="F76" s="4" t="n">
        <f aca="false">IFERROR(VALUE(SUBSTITUTE(SUBSTITUTE(SUBSTITUTE(Orders_Raw!G76,"$",""),"NGN",""),",","")),"")</f>
        <v>1037.94</v>
      </c>
      <c r="G76" s="4" t="str">
        <f aca="false">IF(F76="","No","Yes")</f>
        <v>Yes</v>
      </c>
      <c r="H76" s="4" t="str">
        <f aca="false">Orders_Raw!F76</f>
        <v>2</v>
      </c>
      <c r="I76" s="4" t="str">
        <f aca="false">IF(H76="","No",IF(H76&lt;=0,"No","Yes"))</f>
        <v>Yes</v>
      </c>
      <c r="J76" s="4" t="str">
        <f aca="false">Orders_Raw!E76</f>
        <v>Tablet</v>
      </c>
      <c r="K76" s="4" t="str">
        <f aca="false">Orders_Raw!H76</f>
        <v>2026-02-11 08:29</v>
      </c>
      <c r="L76" s="4" t="str">
        <f aca="false">IF(COUNTIF(Orders_Raw!$A$5:$A$539,A76)&gt;1,"YES","No")</f>
        <v>No</v>
      </c>
      <c r="M76" s="4" t="str">
        <f aca="false">IF(COUNTIFS($B$5:$B$539,B76,$D$5:$D$539,D76,$F$5:$F$539,F76)&gt;1,"YES","No")</f>
        <v>No</v>
      </c>
      <c r="N76" s="4" t="str">
        <f aca="false">IFERROR(INDEX(Customer_Master!$B$5:$B$64,MATCH(B76,Customer_Master!$A$5:$A$64,0)),"UNMATCHED")</f>
        <v>Yusuf Sani</v>
      </c>
      <c r="O76" s="4" t="str">
        <f aca="false">IFERROR(INDEX(Customer_Master!$C$5:$C$64,MATCH(B76,Customer_Master!$A$5:$A$64,0)),"UNMATCHED")</f>
        <v>Loyal</v>
      </c>
      <c r="P76" s="4" t="str">
        <f aca="false">IFERROR(INDEX(Customer_Master!$D$5:$D$64,MATCH(B76,Customer_Master!$A$5:$A$64,0)),"UNMATCHED")</f>
        <v>Kano</v>
      </c>
      <c r="Q76" s="4" t="str">
        <f aca="false">IF(N76="UNMATCHED","Unmatched","Matched")</f>
        <v>Matched</v>
      </c>
      <c r="R76" s="4" t="str">
        <f aca="false">IF(OR(E76="No",G76="No",I76="No",L76="YES",Q76="Unmatched"),"NEEDS REVIEW","OK")</f>
        <v>OK</v>
      </c>
    </row>
    <row r="77" customFormat="false" ht="15" hidden="false" customHeight="false" outlineLevel="0" collapsed="false">
      <c r="A77" s="4" t="str">
        <f aca="false">Orders_Raw!A77</f>
        <v>ORD00455</v>
      </c>
      <c r="B77" s="4" t="str">
        <f aca="false">TRIM(UPPER(Orders_Raw!B77))</f>
        <v>CUST0050</v>
      </c>
      <c r="C77" s="4" t="str">
        <f aca="false">PROPER(TRIM(Orders_Raw!C77))</f>
        <v>Ngozi Duru</v>
      </c>
      <c r="D77" s="6" t="n">
        <f aca="false">IFERROR(DATEVALUE(Orders_Raw!D77),"")</f>
        <v>46114</v>
      </c>
      <c r="E77" s="4" t="str">
        <f aca="false">IF(D77="","No","Yes")</f>
        <v>Yes</v>
      </c>
      <c r="F77" s="4" t="n">
        <f aca="false">IFERROR(VALUE(SUBSTITUTE(SUBSTITUTE(SUBSTITUTE(Orders_Raw!G77,"$",""),"NGN",""),",","")),"")</f>
        <v>1042.69</v>
      </c>
      <c r="G77" s="4" t="str">
        <f aca="false">IF(F77="","No","Yes")</f>
        <v>Yes</v>
      </c>
      <c r="H77" s="4" t="str">
        <f aca="false">Orders_Raw!F77</f>
        <v>1</v>
      </c>
      <c r="I77" s="4" t="str">
        <f aca="false">IF(H77="","No",IF(H77&lt;=0,"No","Yes"))</f>
        <v>Yes</v>
      </c>
      <c r="J77" s="4" t="str">
        <f aca="false">Orders_Raw!E77</f>
        <v>Charger</v>
      </c>
      <c r="K77" s="4" t="str">
        <f aca="false">Orders_Raw!H77</f>
        <v>2026-02-04 15:05</v>
      </c>
      <c r="L77" s="4" t="str">
        <f aca="false">IF(COUNTIF(Orders_Raw!$A$5:$A$539,A77)&gt;1,"YES","No")</f>
        <v>No</v>
      </c>
      <c r="M77" s="4" t="str">
        <f aca="false">IF(COUNTIFS($B$5:$B$539,B77,$D$5:$D$539,D77,$F$5:$F$539,F77)&gt;1,"YES","No")</f>
        <v>No</v>
      </c>
      <c r="N77" s="4" t="str">
        <f aca="false">IFERROR(INDEX(Customer_Master!$B$5:$B$64,MATCH(B77,Customer_Master!$A$5:$A$64,0)),"UNMATCHED")</f>
        <v>Ngozi Duru</v>
      </c>
      <c r="O77" s="4" t="str">
        <f aca="false">IFERROR(INDEX(Customer_Master!$C$5:$C$64,MATCH(B77,Customer_Master!$A$5:$A$64,0)),"UNMATCHED")</f>
        <v>New</v>
      </c>
      <c r="P77" s="4" t="str">
        <f aca="false">IFERROR(INDEX(Customer_Master!$D$5:$D$64,MATCH(B77,Customer_Master!$A$5:$A$64,0)),"UNMATCHED")</f>
        <v>Kano</v>
      </c>
      <c r="Q77" s="4" t="str">
        <f aca="false">IF(N77="UNMATCHED","Unmatched","Matched")</f>
        <v>Matched</v>
      </c>
      <c r="R77" s="4" t="str">
        <f aca="false">IF(OR(E77="No",G77="No",I77="No",L77="YES",Q77="Unmatched"),"NEEDS REVIEW","OK")</f>
        <v>OK</v>
      </c>
    </row>
    <row r="78" customFormat="false" ht="15" hidden="false" customHeight="false" outlineLevel="0" collapsed="false">
      <c r="A78" s="4" t="str">
        <f aca="false">Orders_Raw!A78</f>
        <v>ORD00135</v>
      </c>
      <c r="B78" s="4" t="str">
        <f aca="false">TRIM(UPPER(Orders_Raw!B78))</f>
        <v>CUST0038</v>
      </c>
      <c r="C78" s="4" t="str">
        <f aca="false">PROPER(TRIM(Orders_Raw!C78))</f>
        <v>James Sani</v>
      </c>
      <c r="D78" s="6" t="n">
        <f aca="false">IFERROR(DATEVALUE(Orders_Raw!D78),"")</f>
        <v>46133</v>
      </c>
      <c r="E78" s="4" t="str">
        <f aca="false">IF(D78="","No","Yes")</f>
        <v>Yes</v>
      </c>
      <c r="F78" s="4" t="n">
        <f aca="false">IFERROR(VALUE(SUBSTITUTE(SUBSTITUTE(SUBSTITUTE(Orders_Raw!G78,"$",""),"NGN",""),",","")),"")</f>
        <v>2278.12</v>
      </c>
      <c r="G78" s="4" t="str">
        <f aca="false">IF(F78="","No","Yes")</f>
        <v>Yes</v>
      </c>
      <c r="H78" s="4" t="str">
        <f aca="false">Orders_Raw!F78</f>
        <v>5</v>
      </c>
      <c r="I78" s="4" t="str">
        <f aca="false">IF(H78="","No",IF(H78&lt;=0,"No","Yes"))</f>
        <v>Yes</v>
      </c>
      <c r="J78" s="4" t="str">
        <f aca="false">Orders_Raw!E78</f>
        <v>Headphones</v>
      </c>
      <c r="K78" s="4" t="str">
        <f aca="false">Orders_Raw!H78</f>
        <v>2026-04-21 10:20</v>
      </c>
      <c r="L78" s="4" t="str">
        <f aca="false">IF(COUNTIF(Orders_Raw!$A$5:$A$539,A78)&gt;1,"YES","No")</f>
        <v>No</v>
      </c>
      <c r="M78" s="4" t="str">
        <f aca="false">IF(COUNTIFS($B$5:$B$539,B78,$D$5:$D$539,D78,$F$5:$F$539,F78)&gt;1,"YES","No")</f>
        <v>No</v>
      </c>
      <c r="N78" s="4" t="str">
        <f aca="false">IFERROR(INDEX(Customer_Master!$B$5:$B$64,MATCH(B78,Customer_Master!$A$5:$A$64,0)),"UNMATCHED")</f>
        <v>James Sani</v>
      </c>
      <c r="O78" s="4" t="str">
        <f aca="false">IFERROR(INDEX(Customer_Master!$C$5:$C$64,MATCH(B78,Customer_Master!$A$5:$A$64,0)),"UNMATCHED")</f>
        <v>New</v>
      </c>
      <c r="P78" s="4" t="str">
        <f aca="false">IFERROR(INDEX(Customer_Master!$D$5:$D$64,MATCH(B78,Customer_Master!$A$5:$A$64,0)),"UNMATCHED")</f>
        <v>Port Harcourt</v>
      </c>
      <c r="Q78" s="4" t="str">
        <f aca="false">IF(N78="UNMATCHED","Unmatched","Matched")</f>
        <v>Matched</v>
      </c>
      <c r="R78" s="4" t="str">
        <f aca="false">IF(OR(E78="No",G78="No",I78="No",L78="YES",Q78="Unmatched"),"NEEDS REVIEW","OK")</f>
        <v>OK</v>
      </c>
    </row>
    <row r="79" customFormat="false" ht="15" hidden="false" customHeight="false" outlineLevel="0" collapsed="false">
      <c r="A79" s="4" t="str">
        <f aca="false">Orders_Raw!A79</f>
        <v>ORD00514</v>
      </c>
      <c r="B79" s="4" t="str">
        <f aca="false">TRIM(UPPER(Orders_Raw!B79))</f>
        <v>CUST0020</v>
      </c>
      <c r="C79" s="4" t="str">
        <f aca="false">PROPER(TRIM(Orders_Raw!C79))</f>
        <v>Mary Okafor</v>
      </c>
      <c r="D79" s="6" t="n">
        <f aca="false">IFERROR(DATEVALUE(Orders_Raw!D79),"")</f>
        <v>46116</v>
      </c>
      <c r="E79" s="4" t="str">
        <f aca="false">IF(D79="","No","Yes")</f>
        <v>Yes</v>
      </c>
      <c r="F79" s="4" t="n">
        <f aca="false">IFERROR(VALUE(SUBSTITUTE(SUBSTITUTE(SUBSTITUTE(Orders_Raw!G79,"$",""),"NGN",""),",","")),"")</f>
        <v>2135.56</v>
      </c>
      <c r="G79" s="4" t="str">
        <f aca="false">IF(F79="","No","Yes")</f>
        <v>Yes</v>
      </c>
      <c r="H79" s="4" t="str">
        <f aca="false">Orders_Raw!F79</f>
        <v>1</v>
      </c>
      <c r="I79" s="4" t="str">
        <f aca="false">IF(H79="","No",IF(H79&lt;=0,"No","Yes"))</f>
        <v>Yes</v>
      </c>
      <c r="J79" s="4" t="str">
        <f aca="false">Orders_Raw!E79</f>
        <v>Mouse</v>
      </c>
      <c r="K79" s="4" t="str">
        <f aca="false">Orders_Raw!H79</f>
        <v>2026-04-04 18:12</v>
      </c>
      <c r="L79" s="4" t="str">
        <f aca="false">IF(COUNTIF(Orders_Raw!$A$5:$A$539,A79)&gt;1,"YES","No")</f>
        <v>No</v>
      </c>
      <c r="M79" s="4" t="str">
        <f aca="false">IF(COUNTIFS($B$5:$B$539,B79,$D$5:$D$539,D79,$F$5:$F$539,F79)&gt;1,"YES","No")</f>
        <v>No</v>
      </c>
      <c r="N79" s="4" t="str">
        <f aca="false">IFERROR(INDEX(Customer_Master!$B$5:$B$64,MATCH(B79,Customer_Master!$A$5:$A$64,0)),"UNMATCHED")</f>
        <v>Mary Okafor</v>
      </c>
      <c r="O79" s="4" t="str">
        <f aca="false">IFERROR(INDEX(Customer_Master!$C$5:$C$64,MATCH(B79,Customer_Master!$A$5:$A$64,0)),"UNMATCHED")</f>
        <v>New</v>
      </c>
      <c r="P79" s="4" t="str">
        <f aca="false">IFERROR(INDEX(Customer_Master!$D$5:$D$64,MATCH(B79,Customer_Master!$A$5:$A$64,0)),"UNMATCHED")</f>
        <v>Port Harcourt</v>
      </c>
      <c r="Q79" s="4" t="str">
        <f aca="false">IF(N79="UNMATCHED","Unmatched","Matched")</f>
        <v>Matched</v>
      </c>
      <c r="R79" s="4" t="str">
        <f aca="false">IF(OR(E79="No",G79="No",I79="No",L79="YES",Q79="Unmatched"),"NEEDS REVIEW","OK")</f>
        <v>OK</v>
      </c>
    </row>
    <row r="80" customFormat="false" ht="15" hidden="false" customHeight="false" outlineLevel="0" collapsed="false">
      <c r="A80" s="4" t="str">
        <f aca="false">Orders_Raw!A80</f>
        <v>ORD00356</v>
      </c>
      <c r="B80" s="4" t="str">
        <f aca="false">TRIM(UPPER(Orders_Raw!B80))</f>
        <v>CUST0026</v>
      </c>
      <c r="C80" s="4" t="str">
        <f aca="false">PROPER(TRIM(Orders_Raw!C80))</f>
        <v>Amaka Yakubu</v>
      </c>
      <c r="D80" s="6" t="n">
        <f aca="false">IFERROR(DATEVALUE(Orders_Raw!D80),"")</f>
        <v>46192</v>
      </c>
      <c r="E80" s="4" t="str">
        <f aca="false">IF(D80="","No","Yes")</f>
        <v>Yes</v>
      </c>
      <c r="F80" s="4" t="n">
        <f aca="false">IFERROR(VALUE(SUBSTITUTE(SUBSTITUTE(SUBSTITUTE(Orders_Raw!G80,"$",""),"NGN",""),",","")),"")</f>
        <v>2122.23</v>
      </c>
      <c r="G80" s="4" t="str">
        <f aca="false">IF(F80="","No","Yes")</f>
        <v>Yes</v>
      </c>
      <c r="H80" s="4" t="str">
        <f aca="false">Orders_Raw!F80</f>
        <v>4</v>
      </c>
      <c r="I80" s="4" t="str">
        <f aca="false">IF(H80="","No",IF(H80&lt;=0,"No","Yes"))</f>
        <v>Yes</v>
      </c>
      <c r="J80" s="4" t="str">
        <f aca="false">Orders_Raw!E80</f>
        <v>Printer</v>
      </c>
      <c r="K80" s="4" t="str">
        <f aca="false">Orders_Raw!H80</f>
        <v>2026-06-19 10:11</v>
      </c>
      <c r="L80" s="4" t="str">
        <f aca="false">IF(COUNTIF(Orders_Raw!$A$5:$A$539,A80)&gt;1,"YES","No")</f>
        <v>No</v>
      </c>
      <c r="M80" s="4" t="str">
        <f aca="false">IF(COUNTIFS($B$5:$B$539,B80,$D$5:$D$539,D80,$F$5:$F$539,F80)&gt;1,"YES","No")</f>
        <v>No</v>
      </c>
      <c r="N80" s="4" t="str">
        <f aca="false">IFERROR(INDEX(Customer_Master!$B$5:$B$64,MATCH(B80,Customer_Master!$A$5:$A$64,0)),"UNMATCHED")</f>
        <v>Amaka Yakubu</v>
      </c>
      <c r="O80" s="4" t="str">
        <f aca="false">IFERROR(INDEX(Customer_Master!$C$5:$C$64,MATCH(B80,Customer_Master!$A$5:$A$64,0)),"UNMATCHED")</f>
        <v>Lost / Low-Value</v>
      </c>
      <c r="P80" s="4" t="str">
        <f aca="false">IFERROR(INDEX(Customer_Master!$D$5:$D$64,MATCH(B80,Customer_Master!$A$5:$A$64,0)),"UNMATCHED")</f>
        <v>Kaduna</v>
      </c>
      <c r="Q80" s="4" t="str">
        <f aca="false">IF(N80="UNMATCHED","Unmatched","Matched")</f>
        <v>Matched</v>
      </c>
      <c r="R80" s="4" t="str">
        <f aca="false">IF(OR(E80="No",G80="No",I80="No",L80="YES",Q80="Unmatched"),"NEEDS REVIEW","OK")</f>
        <v>OK</v>
      </c>
    </row>
    <row r="81" customFormat="false" ht="15" hidden="false" customHeight="false" outlineLevel="0" collapsed="false">
      <c r="A81" s="4" t="str">
        <f aca="false">Orders_Raw!A81</f>
        <v>ORD00498</v>
      </c>
      <c r="B81" s="4" t="str">
        <f aca="false">TRIM(UPPER(Orders_Raw!B81))</f>
        <v>CUST0051</v>
      </c>
      <c r="C81" s="4" t="str">
        <f aca="false">PROPER(TRIM(Orders_Raw!C81))</f>
        <v>Ahmed Ajayi</v>
      </c>
      <c r="D81" s="6" t="n">
        <f aca="false">IFERROR(DATEVALUE(Orders_Raw!D81),"")</f>
        <v>46332</v>
      </c>
      <c r="E81" s="4" t="str">
        <f aca="false">IF(D81="","No","Yes")</f>
        <v>Yes</v>
      </c>
      <c r="F81" s="4" t="n">
        <f aca="false">IFERROR(VALUE(SUBSTITUTE(SUBSTITUTE(SUBSTITUTE(Orders_Raw!G81,"$",""),"NGN",""),",","")),"")</f>
        <v>1451.68</v>
      </c>
      <c r="G81" s="4" t="str">
        <f aca="false">IF(F81="","No","Yes")</f>
        <v>Yes</v>
      </c>
      <c r="H81" s="4" t="str">
        <f aca="false">Orders_Raw!F81</f>
        <v>1</v>
      </c>
      <c r="I81" s="4" t="str">
        <f aca="false">IF(H81="","No",IF(H81&lt;=0,"No","Yes"))</f>
        <v>Yes</v>
      </c>
      <c r="J81" s="4" t="str">
        <f aca="false">Orders_Raw!E81</f>
        <v>Speaker</v>
      </c>
      <c r="K81" s="4" t="str">
        <f aca="false">Orders_Raw!H81</f>
        <v>2026-06-11 08:18</v>
      </c>
      <c r="L81" s="4" t="str">
        <f aca="false">IF(COUNTIF(Orders_Raw!$A$5:$A$539,A81)&gt;1,"YES","No")</f>
        <v>No</v>
      </c>
      <c r="M81" s="4" t="str">
        <f aca="false">IF(COUNTIFS($B$5:$B$539,B81,$D$5:$D$539,D81,$F$5:$F$539,F81)&gt;1,"YES","No")</f>
        <v>No</v>
      </c>
      <c r="N81" s="4" t="str">
        <f aca="false">IFERROR(INDEX(Customer_Master!$B$5:$B$64,MATCH(B81,Customer_Master!$A$5:$A$64,0)),"UNMATCHED")</f>
        <v>Ahmed Ajayi</v>
      </c>
      <c r="O81" s="4" t="str">
        <f aca="false">IFERROR(INDEX(Customer_Master!$C$5:$C$64,MATCH(B81,Customer_Master!$A$5:$A$64,0)),"UNMATCHED")</f>
        <v>Champions</v>
      </c>
      <c r="P81" s="4" t="str">
        <f aca="false">IFERROR(INDEX(Customer_Master!$D$5:$D$64,MATCH(B81,Customer_Master!$A$5:$A$64,0)),"UNMATCHED")</f>
        <v>Abuja</v>
      </c>
      <c r="Q81" s="4" t="str">
        <f aca="false">IF(N81="UNMATCHED","Unmatched","Matched")</f>
        <v>Matched</v>
      </c>
      <c r="R81" s="4" t="str">
        <f aca="false">IF(OR(E81="No",G81="No",I81="No",L81="YES",Q81="Unmatched"),"NEEDS REVIEW","OK")</f>
        <v>OK</v>
      </c>
    </row>
    <row r="82" customFormat="false" ht="15" hidden="false" customHeight="false" outlineLevel="0" collapsed="false">
      <c r="A82" s="4" t="str">
        <f aca="false">Orders_Raw!A82</f>
        <v>ORD00517</v>
      </c>
      <c r="B82" s="4" t="str">
        <f aca="false">TRIM(UPPER(Orders_Raw!B82))</f>
        <v>CUST0032</v>
      </c>
      <c r="C82" s="4" t="str">
        <f aca="false">PROPER(TRIM(Orders_Raw!C82))</f>
        <v>Ola Obi</v>
      </c>
      <c r="D82" s="6" t="n">
        <f aca="false">IFERROR(DATEVALUE(Orders_Raw!D82),"")</f>
        <v>46143</v>
      </c>
      <c r="E82" s="4" t="str">
        <f aca="false">IF(D82="","No","Yes")</f>
        <v>Yes</v>
      </c>
      <c r="F82" s="4" t="n">
        <f aca="false">IFERROR(VALUE(SUBSTITUTE(SUBSTITUTE(SUBSTITUTE(Orders_Raw!G82,"$",""),"NGN",""),",","")),"")</f>
        <v>858.12</v>
      </c>
      <c r="G82" s="4" t="str">
        <f aca="false">IF(F82="","No","Yes")</f>
        <v>Yes</v>
      </c>
      <c r="H82" s="4" t="str">
        <f aca="false">Orders_Raw!F82</f>
        <v>5</v>
      </c>
      <c r="I82" s="4" t="str">
        <f aca="false">IF(H82="","No",IF(H82&lt;=0,"No","Yes"))</f>
        <v>Yes</v>
      </c>
      <c r="J82" s="4" t="str">
        <f aca="false">Orders_Raw!E82</f>
        <v>Charger</v>
      </c>
      <c r="K82" s="4" t="str">
        <f aca="false">Orders_Raw!H82</f>
        <v>2026-01-05 18:42</v>
      </c>
      <c r="L82" s="4" t="str">
        <f aca="false">IF(COUNTIF(Orders_Raw!$A$5:$A$539,A82)&gt;1,"YES","No")</f>
        <v>No</v>
      </c>
      <c r="M82" s="4" t="str">
        <f aca="false">IF(COUNTIFS($B$5:$B$539,B82,$D$5:$D$539,D82,$F$5:$F$539,F82)&gt;1,"YES","No")</f>
        <v>No</v>
      </c>
      <c r="N82" s="4" t="str">
        <f aca="false">IFERROR(INDEX(Customer_Master!$B$5:$B$64,MATCH(B82,Customer_Master!$A$5:$A$64,0)),"UNMATCHED")</f>
        <v>Ola Obi</v>
      </c>
      <c r="O82" s="4" t="str">
        <f aca="false">IFERROR(INDEX(Customer_Master!$C$5:$C$64,MATCH(B82,Customer_Master!$A$5:$A$64,0)),"UNMATCHED")</f>
        <v>Lost / Low-Value</v>
      </c>
      <c r="P82" s="4" t="str">
        <f aca="false">IFERROR(INDEX(Customer_Master!$D$5:$D$64,MATCH(B82,Customer_Master!$A$5:$A$64,0)),"UNMATCHED")</f>
        <v>Abuja</v>
      </c>
      <c r="Q82" s="4" t="str">
        <f aca="false">IF(N82="UNMATCHED","Unmatched","Matched")</f>
        <v>Matched</v>
      </c>
      <c r="R82" s="4" t="str">
        <f aca="false">IF(OR(E82="No",G82="No",I82="No",L82="YES",Q82="Unmatched"),"NEEDS REVIEW","OK")</f>
        <v>OK</v>
      </c>
    </row>
    <row r="83" customFormat="false" ht="15" hidden="false" customHeight="false" outlineLevel="0" collapsed="false">
      <c r="A83" s="4" t="str">
        <f aca="false">Orders_Raw!A83</f>
        <v>ORD00041</v>
      </c>
      <c r="B83" s="4" t="str">
        <f aca="false">TRIM(UPPER(Orders_Raw!B83))</f>
        <v>CUST0001</v>
      </c>
      <c r="C83" s="4" t="str">
        <f aca="false">PROPER(TRIM(Orders_Raw!C83))</f>
        <v>Ola Lawal</v>
      </c>
      <c r="D83" s="6" t="n">
        <f aca="false">IFERROR(DATEVALUE(Orders_Raw!D83),"")</f>
        <v>46044</v>
      </c>
      <c r="E83" s="4" t="str">
        <f aca="false">IF(D83="","No","Yes")</f>
        <v>Yes</v>
      </c>
      <c r="F83" s="4" t="n">
        <f aca="false">IFERROR(VALUE(SUBSTITUTE(SUBSTITUTE(SUBSTITUTE(Orders_Raw!G83,"$",""),"NGN",""),",","")),"")</f>
        <v>1804.39</v>
      </c>
      <c r="G83" s="4" t="str">
        <f aca="false">IF(F83="","No","Yes")</f>
        <v>Yes</v>
      </c>
      <c r="H83" s="4" t="str">
        <f aca="false">Orders_Raw!F83</f>
        <v>3</v>
      </c>
      <c r="I83" s="4" t="str">
        <f aca="false">IF(H83="","No",IF(H83&lt;=0,"No","Yes"))</f>
        <v>Yes</v>
      </c>
      <c r="J83" s="4" t="str">
        <f aca="false">Orders_Raw!E83</f>
        <v>Printer</v>
      </c>
      <c r="K83" s="4" t="str">
        <f aca="false">Orders_Raw!H83</f>
        <v>2026-01-22 15:50</v>
      </c>
      <c r="L83" s="4" t="str">
        <f aca="false">IF(COUNTIF(Orders_Raw!$A$5:$A$539,A83)&gt;1,"YES","No")</f>
        <v>No</v>
      </c>
      <c r="M83" s="4" t="str">
        <f aca="false">IF(COUNTIFS($B$5:$B$539,B83,$D$5:$D$539,D83,$F$5:$F$539,F83)&gt;1,"YES","No")</f>
        <v>No</v>
      </c>
      <c r="N83" s="4" t="str">
        <f aca="false">IFERROR(INDEX(Customer_Master!$B$5:$B$64,MATCH(B83,Customer_Master!$A$5:$A$64,0)),"UNMATCHED")</f>
        <v>Ola Lawal</v>
      </c>
      <c r="O83" s="4" t="str">
        <f aca="false">IFERROR(INDEX(Customer_Master!$C$5:$C$64,MATCH(B83,Customer_Master!$A$5:$A$64,0)),"UNMATCHED")</f>
        <v>Champions</v>
      </c>
      <c r="P83" s="4" t="str">
        <f aca="false">IFERROR(INDEX(Customer_Master!$D$5:$D$64,MATCH(B83,Customer_Master!$A$5:$A$64,0)),"UNMATCHED")</f>
        <v>Ibadan</v>
      </c>
      <c r="Q83" s="4" t="str">
        <f aca="false">IF(N83="UNMATCHED","Unmatched","Matched")</f>
        <v>Matched</v>
      </c>
      <c r="R83" s="4" t="str">
        <f aca="false">IF(OR(E83="No",G83="No",I83="No",L83="YES",Q83="Unmatched"),"NEEDS REVIEW","OK")</f>
        <v>OK</v>
      </c>
    </row>
    <row r="84" customFormat="false" ht="15" hidden="false" customHeight="false" outlineLevel="0" collapsed="false">
      <c r="A84" s="4" t="str">
        <f aca="false">Orders_Raw!A84</f>
        <v>ORD00343</v>
      </c>
      <c r="B84" s="4" t="str">
        <f aca="false">TRIM(UPPER(Orders_Raw!B84))</f>
        <v>CUST0005</v>
      </c>
      <c r="C84" s="4" t="str">
        <f aca="false">PROPER(TRIM(Orders_Raw!C84))</f>
        <v>Tunde Nnamdi</v>
      </c>
      <c r="D84" s="6" t="n">
        <f aca="false">IFERROR(DATEVALUE(Orders_Raw!D84),"")</f>
        <v>46204</v>
      </c>
      <c r="E84" s="4" t="str">
        <f aca="false">IF(D84="","No","Yes")</f>
        <v>Yes</v>
      </c>
      <c r="F84" s="4" t="n">
        <f aca="false">IFERROR(VALUE(SUBSTITUTE(SUBSTITUTE(SUBSTITUTE(Orders_Raw!G84,"$",""),"NGN",""),",","")),"")</f>
        <v>1796.42</v>
      </c>
      <c r="G84" s="4" t="str">
        <f aca="false">IF(F84="","No","Yes")</f>
        <v>Yes</v>
      </c>
      <c r="H84" s="4" t="str">
        <f aca="false">Orders_Raw!F84</f>
        <v>1</v>
      </c>
      <c r="I84" s="4" t="str">
        <f aca="false">IF(H84="","No",IF(H84&lt;=0,"No","Yes"))</f>
        <v>Yes</v>
      </c>
      <c r="J84" s="4" t="str">
        <f aca="false">Orders_Raw!E84</f>
        <v>Mouse</v>
      </c>
      <c r="K84" s="4" t="str">
        <f aca="false">Orders_Raw!H84</f>
        <v>2026-01-07 16:04</v>
      </c>
      <c r="L84" s="4" t="str">
        <f aca="false">IF(COUNTIF(Orders_Raw!$A$5:$A$539,A84)&gt;1,"YES","No")</f>
        <v>No</v>
      </c>
      <c r="M84" s="4" t="str">
        <f aca="false">IF(COUNTIFS($B$5:$B$539,B84,$D$5:$D$539,D84,$F$5:$F$539,F84)&gt;1,"YES","No")</f>
        <v>No</v>
      </c>
      <c r="N84" s="4" t="str">
        <f aca="false">IFERROR(INDEX(Customer_Master!$B$5:$B$64,MATCH(B84,Customer_Master!$A$5:$A$64,0)),"UNMATCHED")</f>
        <v>Tunde Nnamdi</v>
      </c>
      <c r="O84" s="4" t="str">
        <f aca="false">IFERROR(INDEX(Customer_Master!$C$5:$C$64,MATCH(B84,Customer_Master!$A$5:$A$64,0)),"UNMATCHED")</f>
        <v>New</v>
      </c>
      <c r="P84" s="4" t="str">
        <f aca="false">IFERROR(INDEX(Customer_Master!$D$5:$D$64,MATCH(B84,Customer_Master!$A$5:$A$64,0)),"UNMATCHED")</f>
        <v>Lagos</v>
      </c>
      <c r="Q84" s="4" t="str">
        <f aca="false">IF(N84="UNMATCHED","Unmatched","Matched")</f>
        <v>Matched</v>
      </c>
      <c r="R84" s="4" t="str">
        <f aca="false">IF(OR(E84="No",G84="No",I84="No",L84="YES",Q84="Unmatched"),"NEEDS REVIEW","OK")</f>
        <v>OK</v>
      </c>
    </row>
    <row r="85" customFormat="false" ht="15" hidden="false" customHeight="false" outlineLevel="0" collapsed="false">
      <c r="A85" s="4" t="str">
        <f aca="false">Orders_Raw!A85</f>
        <v>ORD00479</v>
      </c>
      <c r="B85" s="4" t="str">
        <f aca="false">TRIM(UPPER(Orders_Raw!B85))</f>
        <v>CUST0054</v>
      </c>
      <c r="C85" s="4" t="str">
        <f aca="false">PROPER(TRIM(Orders_Raw!C85))</f>
        <v>Samuel Ajayi</v>
      </c>
      <c r="D85" s="6" t="n">
        <f aca="false">IFERROR(DATEVALUE(Orders_Raw!D85),"")</f>
        <v>46180</v>
      </c>
      <c r="E85" s="4" t="str">
        <f aca="false">IF(D85="","No","Yes")</f>
        <v>Yes</v>
      </c>
      <c r="F85" s="4" t="n">
        <f aca="false">IFERROR(VALUE(SUBSTITUTE(SUBSTITUTE(SUBSTITUTE(Orders_Raw!G85,"$",""),"NGN",""),",","")),"")</f>
        <v>791.42</v>
      </c>
      <c r="G85" s="4" t="str">
        <f aca="false">IF(F85="","No","Yes")</f>
        <v>Yes</v>
      </c>
      <c r="H85" s="4" t="str">
        <f aca="false">Orders_Raw!F85</f>
        <v>4</v>
      </c>
      <c r="I85" s="4" t="str">
        <f aca="false">IF(H85="","No",IF(H85&lt;=0,"No","Yes"))</f>
        <v>Yes</v>
      </c>
      <c r="J85" s="4" t="str">
        <f aca="false">Orders_Raw!E85</f>
        <v>Phone</v>
      </c>
      <c r="K85" s="4" t="str">
        <f aca="false">Orders_Raw!H85</f>
        <v>2026-06-07 15:36</v>
      </c>
      <c r="L85" s="4" t="str">
        <f aca="false">IF(COUNTIF(Orders_Raw!$A$5:$A$539,A85)&gt;1,"YES","No")</f>
        <v>No</v>
      </c>
      <c r="M85" s="4" t="str">
        <f aca="false">IF(COUNTIFS($B$5:$B$539,B85,$D$5:$D$539,D85,$F$5:$F$539,F85)&gt;1,"YES","No")</f>
        <v>No</v>
      </c>
      <c r="N85" s="4" t="str">
        <f aca="false">IFERROR(INDEX(Customer_Master!$B$5:$B$64,MATCH(B85,Customer_Master!$A$5:$A$64,0)),"UNMATCHED")</f>
        <v>Samuel Ajayi</v>
      </c>
      <c r="O85" s="4" t="str">
        <f aca="false">IFERROR(INDEX(Customer_Master!$C$5:$C$64,MATCH(B85,Customer_Master!$A$5:$A$64,0)),"UNMATCHED")</f>
        <v>At Risk</v>
      </c>
      <c r="P85" s="4" t="str">
        <f aca="false">IFERROR(INDEX(Customer_Master!$D$5:$D$64,MATCH(B85,Customer_Master!$A$5:$A$64,0)),"UNMATCHED")</f>
        <v>Kaduna</v>
      </c>
      <c r="Q85" s="4" t="str">
        <f aca="false">IF(N85="UNMATCHED","Unmatched","Matched")</f>
        <v>Matched</v>
      </c>
      <c r="R85" s="4" t="str">
        <f aca="false">IF(OR(E85="No",G85="No",I85="No",L85="YES",Q85="Unmatched"),"NEEDS REVIEW","OK")</f>
        <v>OK</v>
      </c>
    </row>
    <row r="86" customFormat="false" ht="15" hidden="false" customHeight="false" outlineLevel="0" collapsed="false">
      <c r="A86" s="4" t="str">
        <f aca="false">Orders_Raw!A86</f>
        <v>ORD00337</v>
      </c>
      <c r="B86" s="4" t="str">
        <f aca="false">TRIM(UPPER(Orders_Raw!B86))</f>
        <v>CUST0037</v>
      </c>
      <c r="C86" s="4" t="str">
        <f aca="false">PROPER(TRIM(Orders_Raw!C86))</f>
        <v>Blessing Obi</v>
      </c>
      <c r="D86" s="6" t="n">
        <f aca="false">IFERROR(DATEVALUE(Orders_Raw!D86),"")</f>
        <v>46223</v>
      </c>
      <c r="E86" s="4" t="str">
        <f aca="false">IF(D86="","No","Yes")</f>
        <v>Yes</v>
      </c>
      <c r="F86" s="4" t="n">
        <f aca="false">IFERROR(VALUE(SUBSTITUTE(SUBSTITUTE(SUBSTITUTE(Orders_Raw!G86,"$",""),"NGN",""),",","")),"")</f>
        <v>1320.61</v>
      </c>
      <c r="G86" s="4" t="str">
        <f aca="false">IF(F86="","No","Yes")</f>
        <v>Yes</v>
      </c>
      <c r="H86" s="4" t="str">
        <f aca="false">Orders_Raw!F86</f>
        <v>3</v>
      </c>
      <c r="I86" s="4" t="str">
        <f aca="false">IF(H86="","No",IF(H86&lt;=0,"No","Yes"))</f>
        <v>Yes</v>
      </c>
      <c r="J86" s="4" t="str">
        <f aca="false">Orders_Raw!E86</f>
        <v>Monitor</v>
      </c>
      <c r="K86" s="4" t="str">
        <f aca="false">Orders_Raw!H86</f>
        <v>2026-07-20 16:34</v>
      </c>
      <c r="L86" s="4" t="str">
        <f aca="false">IF(COUNTIF(Orders_Raw!$A$5:$A$539,A86)&gt;1,"YES","No")</f>
        <v>No</v>
      </c>
      <c r="M86" s="4" t="str">
        <f aca="false">IF(COUNTIFS($B$5:$B$539,B86,$D$5:$D$539,D86,$F$5:$F$539,F86)&gt;1,"YES","No")</f>
        <v>No</v>
      </c>
      <c r="N86" s="4" t="str">
        <f aca="false">IFERROR(INDEX(Customer_Master!$B$5:$B$64,MATCH(B86,Customer_Master!$A$5:$A$64,0)),"UNMATCHED")</f>
        <v>Blessing Obi</v>
      </c>
      <c r="O86" s="4" t="str">
        <f aca="false">IFERROR(INDEX(Customer_Master!$C$5:$C$64,MATCH(B86,Customer_Master!$A$5:$A$64,0)),"UNMATCHED")</f>
        <v>Lost / Low-Value</v>
      </c>
      <c r="P86" s="4" t="str">
        <f aca="false">IFERROR(INDEX(Customer_Master!$D$5:$D$64,MATCH(B86,Customer_Master!$A$5:$A$64,0)),"UNMATCHED")</f>
        <v>Lagos</v>
      </c>
      <c r="Q86" s="4" t="str">
        <f aca="false">IF(N86="UNMATCHED","Unmatched","Matched")</f>
        <v>Matched</v>
      </c>
      <c r="R86" s="4" t="str">
        <f aca="false">IF(OR(E86="No",G86="No",I86="No",L86="YES",Q86="Unmatched"),"NEEDS REVIEW","OK")</f>
        <v>OK</v>
      </c>
    </row>
    <row r="87" customFormat="false" ht="15" hidden="false" customHeight="false" outlineLevel="0" collapsed="false">
      <c r="A87" s="4" t="str">
        <f aca="false">Orders_Raw!A87</f>
        <v>ORD00391</v>
      </c>
      <c r="B87" s="4" t="str">
        <f aca="false">TRIM(UPPER(Orders_Raw!B87))</f>
        <v>CUST0021</v>
      </c>
      <c r="C87" s="4" t="str">
        <f aca="false">PROPER(TRIM(Orders_Raw!C87))</f>
        <v>Joy Ajayi</v>
      </c>
      <c r="D87" s="6" t="n">
        <f aca="false">IFERROR(DATEVALUE(Orders_Raw!D87),"")</f>
        <v>46087</v>
      </c>
      <c r="E87" s="4" t="str">
        <f aca="false">IF(D87="","No","Yes")</f>
        <v>Yes</v>
      </c>
      <c r="F87" s="4" t="n">
        <f aca="false">IFERROR(VALUE(SUBSTITUTE(SUBSTITUTE(SUBSTITUTE(Orders_Raw!G87,"$",""),"NGN",""),",","")),"")</f>
        <v>2148.38</v>
      </c>
      <c r="G87" s="4" t="str">
        <f aca="false">IF(F87="","No","Yes")</f>
        <v>Yes</v>
      </c>
      <c r="H87" s="4" t="str">
        <f aca="false">Orders_Raw!F87</f>
        <v>2</v>
      </c>
      <c r="I87" s="4" t="str">
        <f aca="false">IF(H87="","No",IF(H87&lt;=0,"No","Yes"))</f>
        <v>Yes</v>
      </c>
      <c r="J87" s="4" t="str">
        <f aca="false">Orders_Raw!E87</f>
        <v>Charger</v>
      </c>
      <c r="K87" s="4" t="str">
        <f aca="false">Orders_Raw!H87</f>
        <v>2026-03-06 12:30</v>
      </c>
      <c r="L87" s="4" t="str">
        <f aca="false">IF(COUNTIF(Orders_Raw!$A$5:$A$539,A87)&gt;1,"YES","No")</f>
        <v>No</v>
      </c>
      <c r="M87" s="4" t="str">
        <f aca="false">IF(COUNTIFS($B$5:$B$539,B87,$D$5:$D$539,D87,$F$5:$F$539,F87)&gt;1,"YES","No")</f>
        <v>No</v>
      </c>
      <c r="N87" s="4" t="str">
        <f aca="false">IFERROR(INDEX(Customer_Master!$B$5:$B$64,MATCH(B87,Customer_Master!$A$5:$A$64,0)),"UNMATCHED")</f>
        <v>Joy Ajayi</v>
      </c>
      <c r="O87" s="4" t="str">
        <f aca="false">IFERROR(INDEX(Customer_Master!$C$5:$C$64,MATCH(B87,Customer_Master!$A$5:$A$64,0)),"UNMATCHED")</f>
        <v>Loyal</v>
      </c>
      <c r="P87" s="4" t="str">
        <f aca="false">IFERROR(INDEX(Customer_Master!$D$5:$D$64,MATCH(B87,Customer_Master!$A$5:$A$64,0)),"UNMATCHED")</f>
        <v>Kaduna</v>
      </c>
      <c r="Q87" s="4" t="str">
        <f aca="false">IF(N87="UNMATCHED","Unmatched","Matched")</f>
        <v>Matched</v>
      </c>
      <c r="R87" s="4" t="str">
        <f aca="false">IF(OR(E87="No",G87="No",I87="No",L87="YES",Q87="Unmatched"),"NEEDS REVIEW","OK")</f>
        <v>OK</v>
      </c>
    </row>
    <row r="88" customFormat="false" ht="15" hidden="false" customHeight="false" outlineLevel="0" collapsed="false">
      <c r="A88" s="4" t="str">
        <f aca="false">Orders_Raw!A88</f>
        <v>ORD00492</v>
      </c>
      <c r="B88" s="4" t="str">
        <f aca="false">TRIM(UPPER(Orders_Raw!B88))</f>
        <v>CUST0057</v>
      </c>
      <c r="C88" s="4" t="str">
        <f aca="false">PROPER(TRIM(Orders_Raw!C88))</f>
        <v>Bisi Lawal</v>
      </c>
      <c r="D88" s="6" t="n">
        <f aca="false">IFERROR(DATEVALUE(Orders_Raw!D88),"")</f>
        <v>46114</v>
      </c>
      <c r="E88" s="4" t="str">
        <f aca="false">IF(D88="","No","Yes")</f>
        <v>Yes</v>
      </c>
      <c r="F88" s="4" t="n">
        <f aca="false">IFERROR(VALUE(SUBSTITUTE(SUBSTITUTE(SUBSTITUTE(Orders_Raw!G88,"$",""),"NGN",""),",","")),"")</f>
        <v>355.99</v>
      </c>
      <c r="G88" s="4" t="str">
        <f aca="false">IF(F88="","No","Yes")</f>
        <v>Yes</v>
      </c>
      <c r="H88" s="4" t="str">
        <f aca="false">Orders_Raw!F88</f>
        <v>5</v>
      </c>
      <c r="I88" s="4" t="str">
        <f aca="false">IF(H88="","No",IF(H88&lt;=0,"No","Yes"))</f>
        <v>Yes</v>
      </c>
      <c r="J88" s="4" t="str">
        <f aca="false">Orders_Raw!E88</f>
        <v>Speaker</v>
      </c>
      <c r="K88" s="4" t="str">
        <f aca="false">Orders_Raw!H88</f>
        <v>2026-02-04 14:39</v>
      </c>
      <c r="L88" s="4" t="str">
        <f aca="false">IF(COUNTIF(Orders_Raw!$A$5:$A$539,A88)&gt;1,"YES","No")</f>
        <v>No</v>
      </c>
      <c r="M88" s="4" t="str">
        <f aca="false">IF(COUNTIFS($B$5:$B$539,B88,$D$5:$D$539,D88,$F$5:$F$539,F88)&gt;1,"YES","No")</f>
        <v>No</v>
      </c>
      <c r="N88" s="4" t="str">
        <f aca="false">IFERROR(INDEX(Customer_Master!$B$5:$B$64,MATCH(B88,Customer_Master!$A$5:$A$64,0)),"UNMATCHED")</f>
        <v>Bisi Lawal</v>
      </c>
      <c r="O88" s="4" t="str">
        <f aca="false">IFERROR(INDEX(Customer_Master!$C$5:$C$64,MATCH(B88,Customer_Master!$A$5:$A$64,0)),"UNMATCHED")</f>
        <v>Lost / Low-Value</v>
      </c>
      <c r="P88" s="4" t="str">
        <f aca="false">IFERROR(INDEX(Customer_Master!$D$5:$D$64,MATCH(B88,Customer_Master!$A$5:$A$64,0)),"UNMATCHED")</f>
        <v>Jos</v>
      </c>
      <c r="Q88" s="4" t="str">
        <f aca="false">IF(N88="UNMATCHED","Unmatched","Matched")</f>
        <v>Matched</v>
      </c>
      <c r="R88" s="4" t="str">
        <f aca="false">IF(OR(E88="No",G88="No",I88="No",L88="YES",Q88="Unmatched"),"NEEDS REVIEW","OK")</f>
        <v>OK</v>
      </c>
    </row>
    <row r="89" customFormat="false" ht="15" hidden="false" customHeight="false" outlineLevel="0" collapsed="false">
      <c r="A89" s="4" t="str">
        <f aca="false">Orders_Raw!A89</f>
        <v>ORD00287</v>
      </c>
      <c r="B89" s="4" t="str">
        <f aca="false">TRIM(UPPER(Orders_Raw!B89))</f>
        <v>CUST0032</v>
      </c>
      <c r="C89" s="4" t="str">
        <f aca="false">PROPER(TRIM(Orders_Raw!C89))</f>
        <v>Ola Obi</v>
      </c>
      <c r="D89" s="6" t="n">
        <f aca="false">IFERROR(DATEVALUE(Orders_Raw!D89),"")</f>
        <v>46037</v>
      </c>
      <c r="E89" s="4" t="str">
        <f aca="false">IF(D89="","No","Yes")</f>
        <v>Yes</v>
      </c>
      <c r="F89" s="4" t="n">
        <f aca="false">IFERROR(VALUE(SUBSTITUTE(SUBSTITUTE(SUBSTITUTE(Orders_Raw!G89,"$",""),"NGN",""),",","")),"")</f>
        <v>1981.85</v>
      </c>
      <c r="G89" s="4" t="str">
        <f aca="false">IF(F89="","No","Yes")</f>
        <v>Yes</v>
      </c>
      <c r="H89" s="4" t="str">
        <f aca="false">Orders_Raw!F89</f>
        <v>2</v>
      </c>
      <c r="I89" s="4" t="str">
        <f aca="false">IF(H89="","No",IF(H89&lt;=0,"No","Yes"))</f>
        <v>Yes</v>
      </c>
      <c r="J89" s="4" t="str">
        <f aca="false">Orders_Raw!E89</f>
        <v>Tablet</v>
      </c>
      <c r="K89" s="4" t="str">
        <f aca="false">Orders_Raw!H89</f>
        <v>2026-01-15 17:01</v>
      </c>
      <c r="L89" s="4" t="str">
        <f aca="false">IF(COUNTIF(Orders_Raw!$A$5:$A$539,A89)&gt;1,"YES","No")</f>
        <v>No</v>
      </c>
      <c r="M89" s="4" t="str">
        <f aca="false">IF(COUNTIFS($B$5:$B$539,B89,$D$5:$D$539,D89,$F$5:$F$539,F89)&gt;1,"YES","No")</f>
        <v>No</v>
      </c>
      <c r="N89" s="4" t="str">
        <f aca="false">IFERROR(INDEX(Customer_Master!$B$5:$B$64,MATCH(B89,Customer_Master!$A$5:$A$64,0)),"UNMATCHED")</f>
        <v>Ola Obi</v>
      </c>
      <c r="O89" s="4" t="str">
        <f aca="false">IFERROR(INDEX(Customer_Master!$C$5:$C$64,MATCH(B89,Customer_Master!$A$5:$A$64,0)),"UNMATCHED")</f>
        <v>Lost / Low-Value</v>
      </c>
      <c r="P89" s="4" t="str">
        <f aca="false">IFERROR(INDEX(Customer_Master!$D$5:$D$64,MATCH(B89,Customer_Master!$A$5:$A$64,0)),"UNMATCHED")</f>
        <v>Abuja</v>
      </c>
      <c r="Q89" s="4" t="str">
        <f aca="false">IF(N89="UNMATCHED","Unmatched","Matched")</f>
        <v>Matched</v>
      </c>
      <c r="R89" s="4" t="str">
        <f aca="false">IF(OR(E89="No",G89="No",I89="No",L89="YES",Q89="Unmatched"),"NEEDS REVIEW","OK")</f>
        <v>OK</v>
      </c>
    </row>
    <row r="90" customFormat="false" ht="15" hidden="false" customHeight="false" outlineLevel="0" collapsed="false">
      <c r="A90" s="4" t="str">
        <f aca="false">Orders_Raw!A90</f>
        <v>ORD00069</v>
      </c>
      <c r="B90" s="4" t="str">
        <f aca="false">TRIM(UPPER(Orders_Raw!B90))</f>
        <v>CUST0030</v>
      </c>
      <c r="C90" s="4" t="str">
        <f aca="false">PROPER(TRIM(Orders_Raw!C90))</f>
        <v>Ifeoma Ajayi</v>
      </c>
      <c r="D90" s="6" t="n">
        <f aca="false">IFERROR(DATEVALUE(Orders_Raw!D90),"")</f>
        <v>46142</v>
      </c>
      <c r="E90" s="4" t="str">
        <f aca="false">IF(D90="","No","Yes")</f>
        <v>Yes</v>
      </c>
      <c r="F90" s="4" t="n">
        <f aca="false">IFERROR(VALUE(SUBSTITUTE(SUBSTITUTE(SUBSTITUTE(Orders_Raw!G90,"$",""),"NGN",""),",","")),"")</f>
        <v>1698.86</v>
      </c>
      <c r="G90" s="4" t="str">
        <f aca="false">IF(F90="","No","Yes")</f>
        <v>Yes</v>
      </c>
      <c r="H90" s="4" t="str">
        <f aca="false">Orders_Raw!F90</f>
        <v>1</v>
      </c>
      <c r="I90" s="4" t="str">
        <f aca="false">IF(H90="","No",IF(H90&lt;=0,"No","Yes"))</f>
        <v>Yes</v>
      </c>
      <c r="J90" s="4" t="str">
        <f aca="false">Orders_Raw!E90</f>
        <v>Speaker</v>
      </c>
      <c r="K90" s="4" t="str">
        <f aca="false">Orders_Raw!H90</f>
        <v>2026-04-30 12:40</v>
      </c>
      <c r="L90" s="4" t="str">
        <f aca="false">IF(COUNTIF(Orders_Raw!$A$5:$A$539,A90)&gt;1,"YES","No")</f>
        <v>No</v>
      </c>
      <c r="M90" s="4" t="str">
        <f aca="false">IF(COUNTIFS($B$5:$B$539,B90,$D$5:$D$539,D90,$F$5:$F$539,F90)&gt;1,"YES","No")</f>
        <v>No</v>
      </c>
      <c r="N90" s="4" t="str">
        <f aca="false">IFERROR(INDEX(Customer_Master!$B$5:$B$64,MATCH(B90,Customer_Master!$A$5:$A$64,0)),"UNMATCHED")</f>
        <v>Ifeoma Ajayi</v>
      </c>
      <c r="O90" s="4" t="str">
        <f aca="false">IFERROR(INDEX(Customer_Master!$C$5:$C$64,MATCH(B90,Customer_Master!$A$5:$A$64,0)),"UNMATCHED")</f>
        <v>Loyal</v>
      </c>
      <c r="P90" s="4" t="str">
        <f aca="false">IFERROR(INDEX(Customer_Master!$D$5:$D$64,MATCH(B90,Customer_Master!$A$5:$A$64,0)),"UNMATCHED")</f>
        <v>Kaduna</v>
      </c>
      <c r="Q90" s="4" t="str">
        <f aca="false">IF(N90="UNMATCHED","Unmatched","Matched")</f>
        <v>Matched</v>
      </c>
      <c r="R90" s="4" t="str">
        <f aca="false">IF(OR(E90="No",G90="No",I90="No",L90="YES",Q90="Unmatched"),"NEEDS REVIEW","OK")</f>
        <v>OK</v>
      </c>
    </row>
    <row r="91" customFormat="false" ht="15" hidden="false" customHeight="false" outlineLevel="0" collapsed="false">
      <c r="A91" s="4" t="str">
        <f aca="false">Orders_Raw!A91</f>
        <v>ORD00354</v>
      </c>
      <c r="B91" s="4" t="str">
        <f aca="false">TRIM(UPPER(Orders_Raw!B91))</f>
        <v>CUST0002</v>
      </c>
      <c r="C91" s="4" t="str">
        <f aca="false">PROPER(TRIM(Orders_Raw!C91))</f>
        <v>Tunde Ajayi</v>
      </c>
      <c r="D91" s="6" t="n">
        <f aca="false">IFERROR(DATEVALUE(Orders_Raw!D91),"")</f>
        <v>46171</v>
      </c>
      <c r="E91" s="4" t="str">
        <f aca="false">IF(D91="","No","Yes")</f>
        <v>Yes</v>
      </c>
      <c r="F91" s="4" t="n">
        <f aca="false">IFERROR(VALUE(SUBSTITUTE(SUBSTITUTE(SUBSTITUTE(Orders_Raw!G91,"$",""),"NGN",""),",","")),"")</f>
        <v>1021.76</v>
      </c>
      <c r="G91" s="4" t="str">
        <f aca="false">IF(F91="","No","Yes")</f>
        <v>Yes</v>
      </c>
      <c r="H91" s="4" t="str">
        <f aca="false">Orders_Raw!F91</f>
        <v>1</v>
      </c>
      <c r="I91" s="4" t="str">
        <f aca="false">IF(H91="","No",IF(H91&lt;=0,"No","Yes"))</f>
        <v>Yes</v>
      </c>
      <c r="J91" s="4" t="str">
        <f aca="false">Orders_Raw!E91</f>
        <v>Tablet</v>
      </c>
      <c r="K91" s="4" t="str">
        <f aca="false">Orders_Raw!H91</f>
        <v>2026-05-29 16:30</v>
      </c>
      <c r="L91" s="4" t="str">
        <f aca="false">IF(COUNTIF(Orders_Raw!$A$5:$A$539,A91)&gt;1,"YES","No")</f>
        <v>No</v>
      </c>
      <c r="M91" s="4" t="str">
        <f aca="false">IF(COUNTIFS($B$5:$B$539,B91,$D$5:$D$539,D91,$F$5:$F$539,F91)&gt;1,"YES","No")</f>
        <v>No</v>
      </c>
      <c r="N91" s="4" t="str">
        <f aca="false">IFERROR(INDEX(Customer_Master!$B$5:$B$64,MATCH(B91,Customer_Master!$A$5:$A$64,0)),"UNMATCHED")</f>
        <v>Tunde Ajayi</v>
      </c>
      <c r="O91" s="4" t="str">
        <f aca="false">IFERROR(INDEX(Customer_Master!$C$5:$C$64,MATCH(B91,Customer_Master!$A$5:$A$64,0)),"UNMATCHED")</f>
        <v>Loyal</v>
      </c>
      <c r="P91" s="4" t="str">
        <f aca="false">IFERROR(INDEX(Customer_Master!$D$5:$D$64,MATCH(B91,Customer_Master!$A$5:$A$64,0)),"UNMATCHED")</f>
        <v>Abuja</v>
      </c>
      <c r="Q91" s="4" t="str">
        <f aca="false">IF(N91="UNMATCHED","Unmatched","Matched")</f>
        <v>Matched</v>
      </c>
      <c r="R91" s="4" t="str">
        <f aca="false">IF(OR(E91="No",G91="No",I91="No",L91="YES",Q91="Unmatched"),"NEEDS REVIEW","OK")</f>
        <v>OK</v>
      </c>
    </row>
    <row r="92" customFormat="false" ht="15" hidden="false" customHeight="false" outlineLevel="0" collapsed="false">
      <c r="A92" s="4" t="str">
        <f aca="false">Orders_Raw!A92</f>
        <v>ORD00348</v>
      </c>
      <c r="B92" s="4" t="str">
        <f aca="false">TRIM(UPPER(Orders_Raw!B92))</f>
        <v>CUST0006</v>
      </c>
      <c r="C92" s="4" t="str">
        <f aca="false">PROPER(TRIM(Orders_Raw!C92))</f>
        <v>Joy Nwosu</v>
      </c>
      <c r="D92" s="6" t="str">
        <f aca="false">IFERROR(DATEVALUE(Orders_Raw!D92),"")</f>
        <v/>
      </c>
      <c r="E92" s="4" t="str">
        <f aca="false">IF(D92="","No","Yes")</f>
        <v>No</v>
      </c>
      <c r="F92" s="4" t="n">
        <f aca="false">IFERROR(VALUE(SUBSTITUTE(SUBSTITUTE(SUBSTITUTE(Orders_Raw!G92,"$",""),"NGN",""),",","")),"")</f>
        <v>2265.49</v>
      </c>
      <c r="G92" s="4" t="str">
        <f aca="false">IF(F92="","No","Yes")</f>
        <v>Yes</v>
      </c>
      <c r="H92" s="4" t="str">
        <f aca="false">Orders_Raw!F92</f>
        <v>1</v>
      </c>
      <c r="I92" s="4" t="str">
        <f aca="false">IF(H92="","No",IF(H92&lt;=0,"No","Yes"))</f>
        <v>Yes</v>
      </c>
      <c r="J92" s="4" t="str">
        <f aca="false">Orders_Raw!E92</f>
        <v>Mouse</v>
      </c>
      <c r="K92" s="4" t="str">
        <f aca="false">Orders_Raw!H92</f>
        <v>2026-02-24 11:07</v>
      </c>
      <c r="L92" s="4" t="str">
        <f aca="false">IF(COUNTIF(Orders_Raw!$A$5:$A$539,A92)&gt;1,"YES","No")</f>
        <v>No</v>
      </c>
      <c r="M92" s="4" t="str">
        <f aca="false">IF(COUNTIFS($B$5:$B$539,B92,$D$5:$D$539,D92,$F$5:$F$539,F92)&gt;1,"YES","No")</f>
        <v>No</v>
      </c>
      <c r="N92" s="4" t="str">
        <f aca="false">IFERROR(INDEX(Customer_Master!$B$5:$B$64,MATCH(B92,Customer_Master!$A$5:$A$64,0)),"UNMATCHED")</f>
        <v>Joy Nwosu</v>
      </c>
      <c r="O92" s="4" t="str">
        <f aca="false">IFERROR(INDEX(Customer_Master!$C$5:$C$64,MATCH(B92,Customer_Master!$A$5:$A$64,0)),"UNMATCHED")</f>
        <v>New</v>
      </c>
      <c r="P92" s="4" t="str">
        <f aca="false">IFERROR(INDEX(Customer_Master!$D$5:$D$64,MATCH(B92,Customer_Master!$A$5:$A$64,0)),"UNMATCHED")</f>
        <v>Enugu</v>
      </c>
      <c r="Q92" s="4" t="str">
        <f aca="false">IF(N92="UNMATCHED","Unmatched","Matched")</f>
        <v>Matched</v>
      </c>
      <c r="R92" s="4" t="str">
        <f aca="false">IF(OR(E92="No",G92="No",I92="No",L92="YES",Q92="Unmatched"),"NEEDS REVIEW","OK")</f>
        <v>NEEDS REVIEW</v>
      </c>
    </row>
    <row r="93" customFormat="false" ht="15" hidden="false" customHeight="false" outlineLevel="0" collapsed="false">
      <c r="A93" s="4" t="str">
        <f aca="false">Orders_Raw!A93</f>
        <v>ORD00026</v>
      </c>
      <c r="B93" s="4" t="str">
        <f aca="false">TRIM(UPPER(Orders_Raw!B93))</f>
        <v>CUST0021</v>
      </c>
      <c r="C93" s="4" t="str">
        <f aca="false">PROPER(TRIM(Orders_Raw!C93))</f>
        <v>Joy Ajayi</v>
      </c>
      <c r="D93" s="6" t="n">
        <f aca="false">IFERROR(DATEVALUE(Orders_Raw!D93),"")</f>
        <v>46179</v>
      </c>
      <c r="E93" s="4" t="str">
        <f aca="false">IF(D93="","No","Yes")</f>
        <v>Yes</v>
      </c>
      <c r="F93" s="4" t="n">
        <f aca="false">IFERROR(VALUE(SUBSTITUTE(SUBSTITUTE(SUBSTITUTE(Orders_Raw!G93,"$",""),"NGN",""),",","")),"")</f>
        <v>1075.45</v>
      </c>
      <c r="G93" s="4" t="str">
        <f aca="false">IF(F93="","No","Yes")</f>
        <v>Yes</v>
      </c>
      <c r="H93" s="4" t="str">
        <f aca="false">Orders_Raw!F93</f>
        <v>2</v>
      </c>
      <c r="I93" s="4" t="str">
        <f aca="false">IF(H93="","No",IF(H93&lt;=0,"No","Yes"))</f>
        <v>Yes</v>
      </c>
      <c r="J93" s="4" t="str">
        <f aca="false">Orders_Raw!E93</f>
        <v>Printer</v>
      </c>
      <c r="K93" s="4" t="str">
        <f aca="false">Orders_Raw!H93</f>
        <v>2026-06-06 15:16</v>
      </c>
      <c r="L93" s="4" t="str">
        <f aca="false">IF(COUNTIF(Orders_Raw!$A$5:$A$539,A93)&gt;1,"YES","No")</f>
        <v>No</v>
      </c>
      <c r="M93" s="4" t="str">
        <f aca="false">IF(COUNTIFS($B$5:$B$539,B93,$D$5:$D$539,D93,$F$5:$F$539,F93)&gt;1,"YES","No")</f>
        <v>No</v>
      </c>
      <c r="N93" s="4" t="str">
        <f aca="false">IFERROR(INDEX(Customer_Master!$B$5:$B$64,MATCH(B93,Customer_Master!$A$5:$A$64,0)),"UNMATCHED")</f>
        <v>Joy Ajayi</v>
      </c>
      <c r="O93" s="4" t="str">
        <f aca="false">IFERROR(INDEX(Customer_Master!$C$5:$C$64,MATCH(B93,Customer_Master!$A$5:$A$64,0)),"UNMATCHED")</f>
        <v>Loyal</v>
      </c>
      <c r="P93" s="4" t="str">
        <f aca="false">IFERROR(INDEX(Customer_Master!$D$5:$D$64,MATCH(B93,Customer_Master!$A$5:$A$64,0)),"UNMATCHED")</f>
        <v>Kaduna</v>
      </c>
      <c r="Q93" s="4" t="str">
        <f aca="false">IF(N93="UNMATCHED","Unmatched","Matched")</f>
        <v>Matched</v>
      </c>
      <c r="R93" s="4" t="str">
        <f aca="false">IF(OR(E93="No",G93="No",I93="No",L93="YES",Q93="Unmatched"),"NEEDS REVIEW","OK")</f>
        <v>OK</v>
      </c>
    </row>
    <row r="94" customFormat="false" ht="15" hidden="false" customHeight="false" outlineLevel="0" collapsed="false">
      <c r="A94" s="4" t="str">
        <f aca="false">Orders_Raw!A94</f>
        <v>ORD00036</v>
      </c>
      <c r="B94" s="4" t="str">
        <f aca="false">TRIM(UPPER(Orders_Raw!B94))</f>
        <v>CUST0059</v>
      </c>
      <c r="C94" s="4" t="str">
        <f aca="false">PROPER(TRIM(Orders_Raw!C94))</f>
        <v>Chidi Lawal</v>
      </c>
      <c r="D94" s="6" t="n">
        <f aca="false">IFERROR(DATEVALUE(Orders_Raw!D94),"")</f>
        <v>46206</v>
      </c>
      <c r="E94" s="4" t="str">
        <f aca="false">IF(D94="","No","Yes")</f>
        <v>Yes</v>
      </c>
      <c r="F94" s="4" t="n">
        <f aca="false">IFERROR(VALUE(SUBSTITUTE(SUBSTITUTE(SUBSTITUTE(Orders_Raw!G94,"$",""),"NGN",""),",","")),"")</f>
        <v>203.85</v>
      </c>
      <c r="G94" s="4" t="str">
        <f aca="false">IF(F94="","No","Yes")</f>
        <v>Yes</v>
      </c>
      <c r="H94" s="4" t="str">
        <f aca="false">Orders_Raw!F94</f>
        <v>1</v>
      </c>
      <c r="I94" s="4" t="str">
        <f aca="false">IF(H94="","No",IF(H94&lt;=0,"No","Yes"))</f>
        <v>Yes</v>
      </c>
      <c r="J94" s="4" t="str">
        <f aca="false">Orders_Raw!E94</f>
        <v>Speaker</v>
      </c>
      <c r="K94" s="4" t="str">
        <f aca="false">Orders_Raw!H94</f>
        <v>2026-07-03 09:50</v>
      </c>
      <c r="L94" s="4" t="str">
        <f aca="false">IF(COUNTIF(Orders_Raw!$A$5:$A$539,A94)&gt;1,"YES","No")</f>
        <v>No</v>
      </c>
      <c r="M94" s="4" t="str">
        <f aca="false">IF(COUNTIFS($B$5:$B$539,B94,$D$5:$D$539,D94,$F$5:$F$539,F94)&gt;1,"YES","No")</f>
        <v>No</v>
      </c>
      <c r="N94" s="4" t="str">
        <f aca="false">IFERROR(INDEX(Customer_Master!$B$5:$B$64,MATCH(B94,Customer_Master!$A$5:$A$64,0)),"UNMATCHED")</f>
        <v>Chidi Lawal</v>
      </c>
      <c r="O94" s="4" t="str">
        <f aca="false">IFERROR(INDEX(Customer_Master!$C$5:$C$64,MATCH(B94,Customer_Master!$A$5:$A$64,0)),"UNMATCHED")</f>
        <v>Champions</v>
      </c>
      <c r="P94" s="4" t="str">
        <f aca="false">IFERROR(INDEX(Customer_Master!$D$5:$D$64,MATCH(B94,Customer_Master!$A$5:$A$64,0)),"UNMATCHED")</f>
        <v>Enugu</v>
      </c>
      <c r="Q94" s="4" t="str">
        <f aca="false">IF(N94="UNMATCHED","Unmatched","Matched")</f>
        <v>Matched</v>
      </c>
      <c r="R94" s="4" t="str">
        <f aca="false">IF(OR(E94="No",G94="No",I94="No",L94="YES",Q94="Unmatched"),"NEEDS REVIEW","OK")</f>
        <v>OK</v>
      </c>
    </row>
    <row r="95" customFormat="false" ht="15" hidden="false" customHeight="false" outlineLevel="0" collapsed="false">
      <c r="A95" s="4" t="str">
        <f aca="false">Orders_Raw!A95</f>
        <v>ORD00429</v>
      </c>
      <c r="B95" s="4" t="str">
        <f aca="false">TRIM(UPPER(Orders_Raw!B95))</f>
        <v>CUST0031</v>
      </c>
      <c r="C95" s="4" t="str">
        <f aca="false">PROPER(TRIM(Orders_Raw!C95))</f>
        <v>Emeka Adeyemi</v>
      </c>
      <c r="D95" s="6" t="n">
        <f aca="false">IFERROR(DATEVALUE(Orders_Raw!D95),"")</f>
        <v>46047</v>
      </c>
      <c r="E95" s="4" t="str">
        <f aca="false">IF(D95="","No","Yes")</f>
        <v>Yes</v>
      </c>
      <c r="F95" s="4" t="n">
        <f aca="false">IFERROR(VALUE(SUBSTITUTE(SUBSTITUTE(SUBSTITUTE(Orders_Raw!G95,"$",""),"NGN",""),",","")),"")</f>
        <v>1611</v>
      </c>
      <c r="G95" s="4" t="str">
        <f aca="false">IF(F95="","No","Yes")</f>
        <v>Yes</v>
      </c>
      <c r="H95" s="4" t="str">
        <f aca="false">Orders_Raw!F95</f>
        <v>4</v>
      </c>
      <c r="I95" s="4" t="str">
        <f aca="false">IF(H95="","No",IF(H95&lt;=0,"No","Yes"))</f>
        <v>Yes</v>
      </c>
      <c r="J95" s="4" t="str">
        <f aca="false">Orders_Raw!E95</f>
        <v>Laptop</v>
      </c>
      <c r="K95" s="4" t="str">
        <f aca="false">Orders_Raw!H95</f>
        <v>2026-01-25 13:22</v>
      </c>
      <c r="L95" s="4" t="str">
        <f aca="false">IF(COUNTIF(Orders_Raw!$A$5:$A$539,A95)&gt;1,"YES","No")</f>
        <v>No</v>
      </c>
      <c r="M95" s="4" t="str">
        <f aca="false">IF(COUNTIFS($B$5:$B$539,B95,$D$5:$D$539,D95,$F$5:$F$539,F95)&gt;1,"YES","No")</f>
        <v>No</v>
      </c>
      <c r="N95" s="4" t="str">
        <f aca="false">IFERROR(INDEX(Customer_Master!$B$5:$B$64,MATCH(B95,Customer_Master!$A$5:$A$64,0)),"UNMATCHED")</f>
        <v>Emeka Adeyemi</v>
      </c>
      <c r="O95" s="4" t="str">
        <f aca="false">IFERROR(INDEX(Customer_Master!$C$5:$C$64,MATCH(B95,Customer_Master!$A$5:$A$64,0)),"UNMATCHED")</f>
        <v>Champions</v>
      </c>
      <c r="P95" s="4" t="str">
        <f aca="false">IFERROR(INDEX(Customer_Master!$D$5:$D$64,MATCH(B95,Customer_Master!$A$5:$A$64,0)),"UNMATCHED")</f>
        <v>Port Harcourt</v>
      </c>
      <c r="Q95" s="4" t="str">
        <f aca="false">IF(N95="UNMATCHED","Unmatched","Matched")</f>
        <v>Matched</v>
      </c>
      <c r="R95" s="4" t="str">
        <f aca="false">IF(OR(E95="No",G95="No",I95="No",L95="YES",Q95="Unmatched"),"NEEDS REVIEW","OK")</f>
        <v>OK</v>
      </c>
    </row>
    <row r="96" customFormat="false" ht="15" hidden="false" customHeight="false" outlineLevel="0" collapsed="false">
      <c r="A96" s="4" t="str">
        <f aca="false">Orders_Raw!A96</f>
        <v>ORD00328</v>
      </c>
      <c r="B96" s="4" t="str">
        <f aca="false">TRIM(UPPER(Orders_Raw!B96))</f>
        <v>CUST0048</v>
      </c>
      <c r="C96" s="4" t="str">
        <f aca="false">PROPER(TRIM(Orders_Raw!C96))</f>
        <v>Musa Chukwu</v>
      </c>
      <c r="D96" s="6" t="n">
        <f aca="false">IFERROR(DATEVALUE(Orders_Raw!D96),"")</f>
        <v>46074</v>
      </c>
      <c r="E96" s="4" t="str">
        <f aca="false">IF(D96="","No","Yes")</f>
        <v>Yes</v>
      </c>
      <c r="F96" s="4" t="n">
        <f aca="false">IFERROR(VALUE(SUBSTITUTE(SUBSTITUTE(SUBSTITUTE(Orders_Raw!G96,"$",""),"NGN",""),",","")),"")</f>
        <v>1566.06</v>
      </c>
      <c r="G96" s="4" t="str">
        <f aca="false">IF(F96="","No","Yes")</f>
        <v>Yes</v>
      </c>
      <c r="H96" s="4" t="str">
        <f aca="false">Orders_Raw!F96</f>
        <v>4</v>
      </c>
      <c r="I96" s="4" t="str">
        <f aca="false">IF(H96="","No",IF(H96&lt;=0,"No","Yes"))</f>
        <v>Yes</v>
      </c>
      <c r="J96" s="4" t="str">
        <f aca="false">Orders_Raw!E96</f>
        <v>Headphones</v>
      </c>
      <c r="K96" s="4" t="str">
        <f aca="false">Orders_Raw!H96</f>
        <v>2026-02-21 16:34</v>
      </c>
      <c r="L96" s="4" t="str">
        <f aca="false">IF(COUNTIF(Orders_Raw!$A$5:$A$539,A96)&gt;1,"YES","No")</f>
        <v>No</v>
      </c>
      <c r="M96" s="4" t="str">
        <f aca="false">IF(COUNTIFS($B$5:$B$539,B96,$D$5:$D$539,D96,$F$5:$F$539,F96)&gt;1,"YES","No")</f>
        <v>No</v>
      </c>
      <c r="N96" s="4" t="str">
        <f aca="false">IFERROR(INDEX(Customer_Master!$B$5:$B$64,MATCH(B96,Customer_Master!$A$5:$A$64,0)),"UNMATCHED")</f>
        <v>Musa Chukwu</v>
      </c>
      <c r="O96" s="4" t="str">
        <f aca="false">IFERROR(INDEX(Customer_Master!$C$5:$C$64,MATCH(B96,Customer_Master!$A$5:$A$64,0)),"UNMATCHED")</f>
        <v>Lost / Low-Value</v>
      </c>
      <c r="P96" s="4" t="str">
        <f aca="false">IFERROR(INDEX(Customer_Master!$D$5:$D$64,MATCH(B96,Customer_Master!$A$5:$A$64,0)),"UNMATCHED")</f>
        <v>Kaduna</v>
      </c>
      <c r="Q96" s="4" t="str">
        <f aca="false">IF(N96="UNMATCHED","Unmatched","Matched")</f>
        <v>Matched</v>
      </c>
      <c r="R96" s="4" t="str">
        <f aca="false">IF(OR(E96="No",G96="No",I96="No",L96="YES",Q96="Unmatched"),"NEEDS REVIEW","OK")</f>
        <v>OK</v>
      </c>
    </row>
    <row r="97" customFormat="false" ht="15" hidden="false" customHeight="false" outlineLevel="0" collapsed="false">
      <c r="A97" s="4" t="str">
        <f aca="false">Orders_Raw!A97</f>
        <v>ORD00169</v>
      </c>
      <c r="B97" s="4" t="str">
        <f aca="false">TRIM(UPPER(Orders_Raw!B97))</f>
        <v>CUST0004</v>
      </c>
      <c r="C97" s="4" t="str">
        <f aca="false">PROPER(TRIM(Orders_Raw!C97))</f>
        <v>Grace Duru</v>
      </c>
      <c r="D97" s="6" t="str">
        <f aca="false">IFERROR(DATEVALUE(Orders_Raw!D97),"")</f>
        <v/>
      </c>
      <c r="E97" s="4" t="str">
        <f aca="false">IF(D97="","No","Yes")</f>
        <v>No</v>
      </c>
      <c r="F97" s="4" t="n">
        <f aca="false">IFERROR(VALUE(SUBSTITUTE(SUBSTITUTE(SUBSTITUTE(Orders_Raw!G97,"$",""),"NGN",""),",","")),"")</f>
        <v>1416.32</v>
      </c>
      <c r="G97" s="4" t="str">
        <f aca="false">IF(F97="","No","Yes")</f>
        <v>Yes</v>
      </c>
      <c r="H97" s="4" t="str">
        <f aca="false">Orders_Raw!F97</f>
        <v>2</v>
      </c>
      <c r="I97" s="4" t="str">
        <f aca="false">IF(H97="","No",IF(H97&lt;=0,"No","Yes"))</f>
        <v>Yes</v>
      </c>
      <c r="J97" s="4" t="str">
        <f aca="false">Orders_Raw!E97</f>
        <v>Laptop</v>
      </c>
      <c r="K97" s="4" t="str">
        <f aca="false">Orders_Raw!H97</f>
        <v>2026-04-17 14:16</v>
      </c>
      <c r="L97" s="4" t="str">
        <f aca="false">IF(COUNTIF(Orders_Raw!$A$5:$A$539,A97)&gt;1,"YES","No")</f>
        <v>YES</v>
      </c>
      <c r="M97" s="4" t="str">
        <f aca="false">IF(COUNTIFS($B$5:$B$539,B97,$D$5:$D$539,D97,$F$5:$F$539,F97)&gt;1,"YES","No")</f>
        <v>YES</v>
      </c>
      <c r="N97" s="4" t="str">
        <f aca="false">IFERROR(INDEX(Customer_Master!$B$5:$B$64,MATCH(B97,Customer_Master!$A$5:$A$64,0)),"UNMATCHED")</f>
        <v>Grace Duru</v>
      </c>
      <c r="O97" s="4" t="str">
        <f aca="false">IFERROR(INDEX(Customer_Master!$C$5:$C$64,MATCH(B97,Customer_Master!$A$5:$A$64,0)),"UNMATCHED")</f>
        <v>Champions</v>
      </c>
      <c r="P97" s="4" t="str">
        <f aca="false">IFERROR(INDEX(Customer_Master!$D$5:$D$64,MATCH(B97,Customer_Master!$A$5:$A$64,0)),"UNMATCHED")</f>
        <v>Kano</v>
      </c>
      <c r="Q97" s="4" t="str">
        <f aca="false">IF(N97="UNMATCHED","Unmatched","Matched")</f>
        <v>Matched</v>
      </c>
      <c r="R97" s="4" t="str">
        <f aca="false">IF(OR(E97="No",G97="No",I97="No",L97="YES",Q97="Unmatched"),"NEEDS REVIEW","OK")</f>
        <v>NEEDS REVIEW</v>
      </c>
    </row>
    <row r="98" customFormat="false" ht="15" hidden="false" customHeight="false" outlineLevel="0" collapsed="false">
      <c r="A98" s="4" t="str">
        <f aca="false">Orders_Raw!A98</f>
        <v>ORD00025</v>
      </c>
      <c r="B98" s="4" t="str">
        <f aca="false">TRIM(UPPER(Orders_Raw!B98))</f>
        <v>CUST0052</v>
      </c>
      <c r="C98" s="4" t="str">
        <f aca="false">PROPER(TRIM(Orders_Raw!C98))</f>
        <v>Mary Adeyemi</v>
      </c>
      <c r="D98" s="6" t="str">
        <f aca="false">IFERROR(DATEVALUE(Orders_Raw!D98),"")</f>
        <v/>
      </c>
      <c r="E98" s="4" t="str">
        <f aca="false">IF(D98="","No","Yes")</f>
        <v>No</v>
      </c>
      <c r="F98" s="4" t="n">
        <f aca="false">IFERROR(VALUE(SUBSTITUTE(SUBSTITUTE(SUBSTITUTE(Orders_Raw!G98,"$",""),"NGN",""),",","")),"")</f>
        <v>1400.15</v>
      </c>
      <c r="G98" s="4" t="str">
        <f aca="false">IF(F98="","No","Yes")</f>
        <v>Yes</v>
      </c>
      <c r="H98" s="4" t="str">
        <f aca="false">Orders_Raw!F98</f>
        <v>2</v>
      </c>
      <c r="I98" s="4" t="str">
        <f aca="false">IF(H98="","No",IF(H98&lt;=0,"No","Yes"))</f>
        <v>Yes</v>
      </c>
      <c r="J98" s="4" t="str">
        <f aca="false">Orders_Raw!E98</f>
        <v>Tablet</v>
      </c>
      <c r="K98" s="4" t="str">
        <f aca="false">Orders_Raw!H98</f>
        <v>2026-04-29 16:38</v>
      </c>
      <c r="L98" s="4" t="str">
        <f aca="false">IF(COUNTIF(Orders_Raw!$A$5:$A$539,A98)&gt;1,"YES","No")</f>
        <v>No</v>
      </c>
      <c r="M98" s="4" t="str">
        <f aca="false">IF(COUNTIFS($B$5:$B$539,B98,$D$5:$D$539,D98,$F$5:$F$539,F98)&gt;1,"YES","No")</f>
        <v>No</v>
      </c>
      <c r="N98" s="4" t="str">
        <f aca="false">IFERROR(INDEX(Customer_Master!$B$5:$B$64,MATCH(B98,Customer_Master!$A$5:$A$64,0)),"UNMATCHED")</f>
        <v>Mary Adeyemi</v>
      </c>
      <c r="O98" s="4" t="str">
        <f aca="false">IFERROR(INDEX(Customer_Master!$C$5:$C$64,MATCH(B98,Customer_Master!$A$5:$A$64,0)),"UNMATCHED")</f>
        <v>Loyal</v>
      </c>
      <c r="P98" s="4" t="str">
        <f aca="false">IFERROR(INDEX(Customer_Master!$D$5:$D$64,MATCH(B98,Customer_Master!$A$5:$A$64,0)),"UNMATCHED")</f>
        <v>Abuja</v>
      </c>
      <c r="Q98" s="4" t="str">
        <f aca="false">IF(N98="UNMATCHED","Unmatched","Matched")</f>
        <v>Matched</v>
      </c>
      <c r="R98" s="4" t="str">
        <f aca="false">IF(OR(E98="No",G98="No",I98="No",L98="YES",Q98="Unmatched"),"NEEDS REVIEW","OK")</f>
        <v>NEEDS REVIEW</v>
      </c>
    </row>
    <row r="99" customFormat="false" ht="15" hidden="false" customHeight="false" outlineLevel="0" collapsed="false">
      <c r="A99" s="4" t="str">
        <f aca="false">Orders_Raw!A99</f>
        <v>ORD00320</v>
      </c>
      <c r="B99" s="4" t="str">
        <f aca="false">TRIM(UPPER(Orders_Raw!B99))</f>
        <v>CUSTO027</v>
      </c>
      <c r="C99" s="4" t="str">
        <f aca="false">PROPER(TRIM(Orders_Raw!C99))</f>
        <v>Yusuf Sani</v>
      </c>
      <c r="D99" s="6" t="n">
        <f aca="false">IFERROR(DATEVALUE(Orders_Raw!D99),"")</f>
        <v>46177</v>
      </c>
      <c r="E99" s="4" t="str">
        <f aca="false">IF(D99="","No","Yes")</f>
        <v>Yes</v>
      </c>
      <c r="F99" s="4" t="n">
        <f aca="false">IFERROR(VALUE(SUBSTITUTE(SUBSTITUTE(SUBSTITUTE(Orders_Raw!G99,"$",""),"NGN",""),",","")),"")</f>
        <v>1599.28</v>
      </c>
      <c r="G99" s="4" t="str">
        <f aca="false">IF(F99="","No","Yes")</f>
        <v>Yes</v>
      </c>
      <c r="H99" s="4" t="str">
        <f aca="false">Orders_Raw!F99</f>
        <v>3</v>
      </c>
      <c r="I99" s="4" t="str">
        <f aca="false">IF(H99="","No",IF(H99&lt;=0,"No","Yes"))</f>
        <v>Yes</v>
      </c>
      <c r="J99" s="4" t="str">
        <f aca="false">Orders_Raw!E99</f>
        <v>Keyboard</v>
      </c>
      <c r="K99" s="4" t="str">
        <f aca="false">Orders_Raw!H99</f>
        <v>2026-06-04 13:52</v>
      </c>
      <c r="L99" s="4" t="str">
        <f aca="false">IF(COUNTIF(Orders_Raw!$A$5:$A$539,A99)&gt;1,"YES","No")</f>
        <v>No</v>
      </c>
      <c r="M99" s="4" t="str">
        <f aca="false">IF(COUNTIFS($B$5:$B$539,B99,$D$5:$D$539,D99,$F$5:$F$539,F99)&gt;1,"YES","No")</f>
        <v>No</v>
      </c>
      <c r="N99" s="4" t="str">
        <f aca="false">IFERROR(INDEX(Customer_Master!$B$5:$B$64,MATCH(B99,Customer_Master!$A$5:$A$64,0)),"UNMATCHED")</f>
        <v>UNMATCHED</v>
      </c>
      <c r="O99" s="4" t="str">
        <f aca="false">IFERROR(INDEX(Customer_Master!$C$5:$C$64,MATCH(B99,Customer_Master!$A$5:$A$64,0)),"UNMATCHED")</f>
        <v>UNMATCHED</v>
      </c>
      <c r="P99" s="4" t="str">
        <f aca="false">IFERROR(INDEX(Customer_Master!$D$5:$D$64,MATCH(B99,Customer_Master!$A$5:$A$64,0)),"UNMATCHED")</f>
        <v>UNMATCHED</v>
      </c>
      <c r="Q99" s="4" t="str">
        <f aca="false">IF(N99="UNMATCHED","Unmatched","Matched")</f>
        <v>Unmatched</v>
      </c>
      <c r="R99" s="4" t="str">
        <f aca="false">IF(OR(E99="No",G99="No",I99="No",L99="YES",Q99="Unmatched"),"NEEDS REVIEW","OK")</f>
        <v>NEEDS REVIEW</v>
      </c>
    </row>
    <row r="100" customFormat="false" ht="15" hidden="false" customHeight="false" outlineLevel="0" collapsed="false">
      <c r="A100" s="4" t="str">
        <f aca="false">Orders_Raw!A100</f>
        <v>ORD00267</v>
      </c>
      <c r="B100" s="4" t="str">
        <f aca="false">TRIM(UPPER(Orders_Raw!B100))</f>
        <v>CUST0042</v>
      </c>
      <c r="C100" s="4" t="str">
        <f aca="false">PROPER(TRIM(Orders_Raw!C100))</f>
        <v>Bisi Chukwu</v>
      </c>
      <c r="D100" s="6" t="n">
        <f aca="false">IFERROR(DATEVALUE(Orders_Raw!D100),"")</f>
        <v>46200</v>
      </c>
      <c r="E100" s="4" t="str">
        <f aca="false">IF(D100="","No","Yes")</f>
        <v>Yes</v>
      </c>
      <c r="F100" s="4" t="n">
        <f aca="false">IFERROR(VALUE(SUBSTITUTE(SUBSTITUTE(SUBSTITUTE(Orders_Raw!G100,"$",""),"NGN",""),",","")),"")</f>
        <v>1970.67</v>
      </c>
      <c r="G100" s="4" t="str">
        <f aca="false">IF(F100="","No","Yes")</f>
        <v>Yes</v>
      </c>
      <c r="H100" s="4" t="str">
        <f aca="false">Orders_Raw!F100</f>
        <v>4</v>
      </c>
      <c r="I100" s="4" t="str">
        <f aca="false">IF(H100="","No",IF(H100&lt;=0,"No","Yes"))</f>
        <v>Yes</v>
      </c>
      <c r="J100" s="4" t="str">
        <f aca="false">Orders_Raw!E100</f>
        <v>Mouse</v>
      </c>
      <c r="K100" s="4" t="str">
        <f aca="false">Orders_Raw!H100</f>
        <v>2026-06-27 12:08</v>
      </c>
      <c r="L100" s="4" t="str">
        <f aca="false">IF(COUNTIF(Orders_Raw!$A$5:$A$539,A100)&gt;1,"YES","No")</f>
        <v>No</v>
      </c>
      <c r="M100" s="4" t="str">
        <f aca="false">IF(COUNTIFS($B$5:$B$539,B100,$D$5:$D$539,D100,$F$5:$F$539,F100)&gt;1,"YES","No")</f>
        <v>No</v>
      </c>
      <c r="N100" s="4" t="str">
        <f aca="false">IFERROR(INDEX(Customer_Master!$B$5:$B$64,MATCH(B100,Customer_Master!$A$5:$A$64,0)),"UNMATCHED")</f>
        <v>Bisi Chukwu</v>
      </c>
      <c r="O100" s="4" t="str">
        <f aca="false">IFERROR(INDEX(Customer_Master!$C$5:$C$64,MATCH(B100,Customer_Master!$A$5:$A$64,0)),"UNMATCHED")</f>
        <v>At Risk</v>
      </c>
      <c r="P100" s="4" t="str">
        <f aca="false">IFERROR(INDEX(Customer_Master!$D$5:$D$64,MATCH(B100,Customer_Master!$A$5:$A$64,0)),"UNMATCHED")</f>
        <v>Kano</v>
      </c>
      <c r="Q100" s="4" t="str">
        <f aca="false">IF(N100="UNMATCHED","Unmatched","Matched")</f>
        <v>Matched</v>
      </c>
      <c r="R100" s="4" t="str">
        <f aca="false">IF(OR(E100="No",G100="No",I100="No",L100="YES",Q100="Unmatched"),"NEEDS REVIEW","OK")</f>
        <v>OK</v>
      </c>
    </row>
    <row r="101" customFormat="false" ht="15" hidden="false" customHeight="false" outlineLevel="0" collapsed="false">
      <c r="A101" s="4" t="str">
        <f aca="false">Orders_Raw!A101</f>
        <v>ORD00359</v>
      </c>
      <c r="B101" s="4" t="str">
        <f aca="false">TRIM(UPPER(Orders_Raw!B101))</f>
        <v>CUST0054</v>
      </c>
      <c r="C101" s="4" t="str">
        <f aca="false">PROPER(TRIM(Orders_Raw!C101))</f>
        <v>Samuel Ajayi</v>
      </c>
      <c r="D101" s="6" t="n">
        <f aca="false">IFERROR(DATEVALUE(Orders_Raw!D101),"")</f>
        <v>46171</v>
      </c>
      <c r="E101" s="4" t="str">
        <f aca="false">IF(D101="","No","Yes")</f>
        <v>Yes</v>
      </c>
      <c r="F101" s="4" t="n">
        <f aca="false">IFERROR(VALUE(SUBSTITUTE(SUBSTITUTE(SUBSTITUTE(Orders_Raw!G101,"$",""),"NGN",""),",","")),"")</f>
        <v>1431.85</v>
      </c>
      <c r="G101" s="4" t="str">
        <f aca="false">IF(F101="","No","Yes")</f>
        <v>Yes</v>
      </c>
      <c r="H101" s="4" t="str">
        <f aca="false">Orders_Raw!F101</f>
        <v>4</v>
      </c>
      <c r="I101" s="4" t="str">
        <f aca="false">IF(H101="","No",IF(H101&lt;=0,"No","Yes"))</f>
        <v>Yes</v>
      </c>
      <c r="J101" s="4" t="str">
        <f aca="false">Orders_Raw!E101</f>
        <v>Phone</v>
      </c>
      <c r="K101" s="4" t="str">
        <f aca="false">Orders_Raw!H101</f>
        <v>2026-05-29 16:16</v>
      </c>
      <c r="L101" s="4" t="str">
        <f aca="false">IF(COUNTIF(Orders_Raw!$A$5:$A$539,A101)&gt;1,"YES","No")</f>
        <v>No</v>
      </c>
      <c r="M101" s="4" t="str">
        <f aca="false">IF(COUNTIFS($B$5:$B$539,B101,$D$5:$D$539,D101,$F$5:$F$539,F101)&gt;1,"YES","No")</f>
        <v>No</v>
      </c>
      <c r="N101" s="4" t="str">
        <f aca="false">IFERROR(INDEX(Customer_Master!$B$5:$B$64,MATCH(B101,Customer_Master!$A$5:$A$64,0)),"UNMATCHED")</f>
        <v>Samuel Ajayi</v>
      </c>
      <c r="O101" s="4" t="str">
        <f aca="false">IFERROR(INDEX(Customer_Master!$C$5:$C$64,MATCH(B101,Customer_Master!$A$5:$A$64,0)),"UNMATCHED")</f>
        <v>At Risk</v>
      </c>
      <c r="P101" s="4" t="str">
        <f aca="false">IFERROR(INDEX(Customer_Master!$D$5:$D$64,MATCH(B101,Customer_Master!$A$5:$A$64,0)),"UNMATCHED")</f>
        <v>Kaduna</v>
      </c>
      <c r="Q101" s="4" t="str">
        <f aca="false">IF(N101="UNMATCHED","Unmatched","Matched")</f>
        <v>Matched</v>
      </c>
      <c r="R101" s="4" t="str">
        <f aca="false">IF(OR(E101="No",G101="No",I101="No",L101="YES",Q101="Unmatched"),"NEEDS REVIEW","OK")</f>
        <v>OK</v>
      </c>
    </row>
    <row r="102" customFormat="false" ht="15" hidden="false" customHeight="false" outlineLevel="0" collapsed="false">
      <c r="A102" s="4" t="str">
        <f aca="false">Orders_Raw!A102</f>
        <v>ORD00194</v>
      </c>
      <c r="B102" s="4" t="str">
        <f aca="false">TRIM(UPPER(Orders_Raw!B102))</f>
        <v>CUST0049</v>
      </c>
      <c r="C102" s="4" t="str">
        <f aca="false">PROPER(TRIM(Orders_Raw!C102))</f>
        <v>Bisi Ajayi</v>
      </c>
      <c r="D102" s="6" t="n">
        <f aca="false">IFERROR(DATEVALUE(Orders_Raw!D102),"")</f>
        <v>46151</v>
      </c>
      <c r="E102" s="4" t="str">
        <f aca="false">IF(D102="","No","Yes")</f>
        <v>Yes</v>
      </c>
      <c r="F102" s="4" t="n">
        <f aca="false">IFERROR(VALUE(SUBSTITUTE(SUBSTITUTE(SUBSTITUTE(Orders_Raw!G102,"$",""),"NGN",""),",","")),"")</f>
        <v>148.44</v>
      </c>
      <c r="G102" s="4" t="str">
        <f aca="false">IF(F102="","No","Yes")</f>
        <v>Yes</v>
      </c>
      <c r="H102" s="4" t="str">
        <f aca="false">Orders_Raw!F102</f>
        <v>1</v>
      </c>
      <c r="I102" s="4" t="str">
        <f aca="false">IF(H102="","No",IF(H102&lt;=0,"No","Yes"))</f>
        <v>Yes</v>
      </c>
      <c r="J102" s="4" t="str">
        <f aca="false">Orders_Raw!E102</f>
        <v>Speaker</v>
      </c>
      <c r="K102" s="4" t="str">
        <f aca="false">Orders_Raw!H102</f>
        <v>2026-05-09 17:25</v>
      </c>
      <c r="L102" s="4" t="str">
        <f aca="false">IF(COUNTIF(Orders_Raw!$A$5:$A$539,A102)&gt;1,"YES","No")</f>
        <v>No</v>
      </c>
      <c r="M102" s="4" t="str">
        <f aca="false">IF(COUNTIFS($B$5:$B$539,B102,$D$5:$D$539,D102,$F$5:$F$539,F102)&gt;1,"YES","No")</f>
        <v>No</v>
      </c>
      <c r="N102" s="4" t="str">
        <f aca="false">IFERROR(INDEX(Customer_Master!$B$5:$B$64,MATCH(B102,Customer_Master!$A$5:$A$64,0)),"UNMATCHED")</f>
        <v>Bisi Ajayi</v>
      </c>
      <c r="O102" s="4" t="str">
        <f aca="false">IFERROR(INDEX(Customer_Master!$C$5:$C$64,MATCH(B102,Customer_Master!$A$5:$A$64,0)),"UNMATCHED")</f>
        <v>Loyal</v>
      </c>
      <c r="P102" s="4" t="str">
        <f aca="false">IFERROR(INDEX(Customer_Master!$D$5:$D$64,MATCH(B102,Customer_Master!$A$5:$A$64,0)),"UNMATCHED")</f>
        <v>Abuja</v>
      </c>
      <c r="Q102" s="4" t="str">
        <f aca="false">IF(N102="UNMATCHED","Unmatched","Matched")</f>
        <v>Matched</v>
      </c>
      <c r="R102" s="4" t="str">
        <f aca="false">IF(OR(E102="No",G102="No",I102="No",L102="YES",Q102="Unmatched"),"NEEDS REVIEW","OK")</f>
        <v>OK</v>
      </c>
    </row>
    <row r="103" customFormat="false" ht="15" hidden="false" customHeight="false" outlineLevel="0" collapsed="false">
      <c r="A103" s="4" t="str">
        <f aca="false">Orders_Raw!A103</f>
        <v>ORD00012</v>
      </c>
      <c r="B103" s="4" t="str">
        <f aca="false">TRIM(UPPER(Orders_Raw!B103))</f>
        <v>CUST0003</v>
      </c>
      <c r="C103" s="4" t="str">
        <f aca="false">PROPER(TRIM(Orders_Raw!C103))</f>
        <v>Chidi Adamu</v>
      </c>
      <c r="D103" s="6" t="n">
        <f aca="false">IFERROR(DATEVALUE(Orders_Raw!D103),"")</f>
        <v>46164</v>
      </c>
      <c r="E103" s="4" t="str">
        <f aca="false">IF(D103="","No","Yes")</f>
        <v>Yes</v>
      </c>
      <c r="F103" s="4" t="n">
        <f aca="false">IFERROR(VALUE(SUBSTITUTE(SUBSTITUTE(SUBSTITUTE(Orders_Raw!G103,"$",""),"NGN",""),",","")),"")</f>
        <v>1083.02</v>
      </c>
      <c r="G103" s="4" t="str">
        <f aca="false">IF(F103="","No","Yes")</f>
        <v>Yes</v>
      </c>
      <c r="H103" s="4" t="str">
        <f aca="false">Orders_Raw!F103</f>
        <v>2</v>
      </c>
      <c r="I103" s="4" t="str">
        <f aca="false">IF(H103="","No",IF(H103&lt;=0,"No","Yes"))</f>
        <v>Yes</v>
      </c>
      <c r="J103" s="4" t="str">
        <f aca="false">Orders_Raw!E103</f>
        <v>Laptop</v>
      </c>
      <c r="K103" s="4" t="str">
        <f aca="false">Orders_Raw!H103</f>
        <v>2026-05-22 13:13</v>
      </c>
      <c r="L103" s="4" t="str">
        <f aca="false">IF(COUNTIF(Orders_Raw!$A$5:$A$539,A103)&gt;1,"YES","No")</f>
        <v>No</v>
      </c>
      <c r="M103" s="4" t="str">
        <f aca="false">IF(COUNTIFS($B$5:$B$539,B103,$D$5:$D$539,D103,$F$5:$F$539,F103)&gt;1,"YES","No")</f>
        <v>No</v>
      </c>
      <c r="N103" s="4" t="str">
        <f aca="false">IFERROR(INDEX(Customer_Master!$B$5:$B$64,MATCH(B103,Customer_Master!$A$5:$A$64,0)),"UNMATCHED")</f>
        <v>Chidi Adamu</v>
      </c>
      <c r="O103" s="4" t="str">
        <f aca="false">IFERROR(INDEX(Customer_Master!$C$5:$C$64,MATCH(B103,Customer_Master!$A$5:$A$64,0)),"UNMATCHED")</f>
        <v>Champions</v>
      </c>
      <c r="P103" s="4" t="str">
        <f aca="false">IFERROR(INDEX(Customer_Master!$D$5:$D$64,MATCH(B103,Customer_Master!$A$5:$A$64,0)),"UNMATCHED")</f>
        <v>Enugu</v>
      </c>
      <c r="Q103" s="4" t="str">
        <f aca="false">IF(N103="UNMATCHED","Unmatched","Matched")</f>
        <v>Matched</v>
      </c>
      <c r="R103" s="4" t="str">
        <f aca="false">IF(OR(E103="No",G103="No",I103="No",L103="YES",Q103="Unmatched"),"NEEDS REVIEW","OK")</f>
        <v>OK</v>
      </c>
    </row>
    <row r="104" customFormat="false" ht="15" hidden="false" customHeight="false" outlineLevel="0" collapsed="false">
      <c r="A104" s="4" t="str">
        <f aca="false">Orders_Raw!A104</f>
        <v>ORD00361</v>
      </c>
      <c r="B104" s="4" t="str">
        <f aca="false">TRIM(UPPER(Orders_Raw!B104))</f>
        <v>CUST0009</v>
      </c>
      <c r="C104" s="4" t="str">
        <f aca="false">PROPER(TRIM(Orders_Raw!C104))</f>
        <v>Ngozi Sani</v>
      </c>
      <c r="D104" s="6" t="n">
        <f aca="false">IFERROR(DATEVALUE(Orders_Raw!D104),"")</f>
        <v>46042</v>
      </c>
      <c r="E104" s="4" t="str">
        <f aca="false">IF(D104="","No","Yes")</f>
        <v>Yes</v>
      </c>
      <c r="F104" s="4" t="n">
        <f aca="false">IFERROR(VALUE(SUBSTITUTE(SUBSTITUTE(SUBSTITUTE(Orders_Raw!G104,"$",""),"NGN",""),",","")),"")</f>
        <v>1614.04</v>
      </c>
      <c r="G104" s="4" t="str">
        <f aca="false">IF(F104="","No","Yes")</f>
        <v>Yes</v>
      </c>
      <c r="H104" s="4" t="str">
        <f aca="false">Orders_Raw!F104</f>
        <v>1</v>
      </c>
      <c r="I104" s="4" t="str">
        <f aca="false">IF(H104="","No",IF(H104&lt;=0,"No","Yes"))</f>
        <v>Yes</v>
      </c>
      <c r="J104" s="4" t="str">
        <f aca="false">Orders_Raw!E104</f>
        <v>Phone</v>
      </c>
      <c r="K104" s="4" t="str">
        <f aca="false">Orders_Raw!H104</f>
        <v>2026-01-20 18:14</v>
      </c>
      <c r="L104" s="4" t="str">
        <f aca="false">IF(COUNTIF(Orders_Raw!$A$5:$A$539,A104)&gt;1,"YES","No")</f>
        <v>No</v>
      </c>
      <c r="M104" s="4" t="str">
        <f aca="false">IF(COUNTIFS($B$5:$B$539,B104,$D$5:$D$539,D104,$F$5:$F$539,F104)&gt;1,"YES","No")</f>
        <v>No</v>
      </c>
      <c r="N104" s="4" t="str">
        <f aca="false">IFERROR(INDEX(Customer_Master!$B$5:$B$64,MATCH(B104,Customer_Master!$A$5:$A$64,0)),"UNMATCHED")</f>
        <v>Ngozi Sani</v>
      </c>
      <c r="O104" s="4" t="str">
        <f aca="false">IFERROR(INDEX(Customer_Master!$C$5:$C$64,MATCH(B104,Customer_Master!$A$5:$A$64,0)),"UNMATCHED")</f>
        <v>Loyal</v>
      </c>
      <c r="P104" s="4" t="str">
        <f aca="false">IFERROR(INDEX(Customer_Master!$D$5:$D$64,MATCH(B104,Customer_Master!$A$5:$A$64,0)),"UNMATCHED")</f>
        <v>Kano</v>
      </c>
      <c r="Q104" s="4" t="str">
        <f aca="false">IF(N104="UNMATCHED","Unmatched","Matched")</f>
        <v>Matched</v>
      </c>
      <c r="R104" s="4" t="str">
        <f aca="false">IF(OR(E104="No",G104="No",I104="No",L104="YES",Q104="Unmatched"),"NEEDS REVIEW","OK")</f>
        <v>OK</v>
      </c>
    </row>
    <row r="105" customFormat="false" ht="15" hidden="false" customHeight="false" outlineLevel="0" collapsed="false">
      <c r="A105" s="4" t="str">
        <f aca="false">Orders_Raw!A105</f>
        <v>ORD00473</v>
      </c>
      <c r="B105" s="4" t="str">
        <f aca="false">TRIM(UPPER(Orders_Raw!B105))</f>
        <v>CUSTO012</v>
      </c>
      <c r="C105" s="4" t="str">
        <f aca="false">PROPER(TRIM(Orders_Raw!C105))</f>
        <v>Kemi Sani</v>
      </c>
      <c r="D105" s="6" t="str">
        <f aca="false">IFERROR(DATEVALUE(Orders_Raw!D105),"")</f>
        <v/>
      </c>
      <c r="E105" s="4" t="str">
        <f aca="false">IF(D105="","No","Yes")</f>
        <v>No</v>
      </c>
      <c r="F105" s="4" t="n">
        <f aca="false">IFERROR(VALUE(SUBSTITUTE(SUBSTITUTE(SUBSTITUTE(Orders_Raw!G105,"$",""),"NGN",""),",","")),"")</f>
        <v>1272.4</v>
      </c>
      <c r="G105" s="4" t="str">
        <f aca="false">IF(F105="","No","Yes")</f>
        <v>Yes</v>
      </c>
      <c r="H105" s="4" t="str">
        <f aca="false">Orders_Raw!F105</f>
        <v>3</v>
      </c>
      <c r="I105" s="4" t="str">
        <f aca="false">IF(H105="","No",IF(H105&lt;=0,"No","Yes"))</f>
        <v>Yes</v>
      </c>
      <c r="J105" s="4" t="str">
        <f aca="false">Orders_Raw!E105</f>
        <v>Printer</v>
      </c>
      <c r="K105" s="4" t="str">
        <f aca="false">Orders_Raw!H105</f>
        <v>2026-01-24 16:19</v>
      </c>
      <c r="L105" s="4" t="str">
        <f aca="false">IF(COUNTIF(Orders_Raw!$A$5:$A$539,A105)&gt;1,"YES","No")</f>
        <v>No</v>
      </c>
      <c r="M105" s="4" t="str">
        <f aca="false">IF(COUNTIFS($B$5:$B$539,B105,$D$5:$D$539,D105,$F$5:$F$539,F105)&gt;1,"YES","No")</f>
        <v>No</v>
      </c>
      <c r="N105" s="4" t="str">
        <f aca="false">IFERROR(INDEX(Customer_Master!$B$5:$B$64,MATCH(B105,Customer_Master!$A$5:$A$64,0)),"UNMATCHED")</f>
        <v>UNMATCHED</v>
      </c>
      <c r="O105" s="4" t="str">
        <f aca="false">IFERROR(INDEX(Customer_Master!$C$5:$C$64,MATCH(B105,Customer_Master!$A$5:$A$64,0)),"UNMATCHED")</f>
        <v>UNMATCHED</v>
      </c>
      <c r="P105" s="4" t="str">
        <f aca="false">IFERROR(INDEX(Customer_Master!$D$5:$D$64,MATCH(B105,Customer_Master!$A$5:$A$64,0)),"UNMATCHED")</f>
        <v>UNMATCHED</v>
      </c>
      <c r="Q105" s="4" t="str">
        <f aca="false">IF(N105="UNMATCHED","Unmatched","Matched")</f>
        <v>Unmatched</v>
      </c>
      <c r="R105" s="4" t="str">
        <f aca="false">IF(OR(E105="No",G105="No",I105="No",L105="YES",Q105="Unmatched"),"NEEDS REVIEW","OK")</f>
        <v>NEEDS REVIEW</v>
      </c>
    </row>
    <row r="106" customFormat="false" ht="15" hidden="false" customHeight="false" outlineLevel="0" collapsed="false">
      <c r="A106" s="4" t="str">
        <f aca="false">Orders_Raw!A106</f>
        <v>ORD00231</v>
      </c>
      <c r="B106" s="4" t="str">
        <f aca="false">TRIM(UPPER(Orders_Raw!B106))</f>
        <v>CUST0005</v>
      </c>
      <c r="C106" s="4" t="str">
        <f aca="false">PROPER(TRIM(Orders_Raw!C106))</f>
        <v>Tunde Nnamdi</v>
      </c>
      <c r="D106" s="6" t="str">
        <f aca="false">IFERROR(DATEVALUE(Orders_Raw!D106),"")</f>
        <v/>
      </c>
      <c r="E106" s="4" t="str">
        <f aca="false">IF(D106="","No","Yes")</f>
        <v>No</v>
      </c>
      <c r="F106" s="4" t="n">
        <f aca="false">IFERROR(VALUE(SUBSTITUTE(SUBSTITUTE(SUBSTITUTE(Orders_Raw!G106,"$",""),"NGN",""),",","")),"")</f>
        <v>38.08</v>
      </c>
      <c r="G106" s="4" t="str">
        <f aca="false">IF(F106="","No","Yes")</f>
        <v>Yes</v>
      </c>
      <c r="H106" s="4" t="str">
        <f aca="false">Orders_Raw!F106</f>
        <v>5</v>
      </c>
      <c r="I106" s="4" t="str">
        <f aca="false">IF(H106="","No",IF(H106&lt;=0,"No","Yes"))</f>
        <v>Yes</v>
      </c>
      <c r="J106" s="4" t="str">
        <f aca="false">Orders_Raw!E106</f>
        <v>Headphones</v>
      </c>
      <c r="K106" s="4" t="str">
        <f aca="false">Orders_Raw!H106</f>
        <v>2026-05-13 15:04</v>
      </c>
      <c r="L106" s="4" t="str">
        <f aca="false">IF(COUNTIF(Orders_Raw!$A$5:$A$539,A106)&gt;1,"YES","No")</f>
        <v>No</v>
      </c>
      <c r="M106" s="4" t="str">
        <f aca="false">IF(COUNTIFS($B$5:$B$539,B106,$D$5:$D$539,D106,$F$5:$F$539,F106)&gt;1,"YES","No")</f>
        <v>No</v>
      </c>
      <c r="N106" s="4" t="str">
        <f aca="false">IFERROR(INDEX(Customer_Master!$B$5:$B$64,MATCH(B106,Customer_Master!$A$5:$A$64,0)),"UNMATCHED")</f>
        <v>Tunde Nnamdi</v>
      </c>
      <c r="O106" s="4" t="str">
        <f aca="false">IFERROR(INDEX(Customer_Master!$C$5:$C$64,MATCH(B106,Customer_Master!$A$5:$A$64,0)),"UNMATCHED")</f>
        <v>New</v>
      </c>
      <c r="P106" s="4" t="str">
        <f aca="false">IFERROR(INDEX(Customer_Master!$D$5:$D$64,MATCH(B106,Customer_Master!$A$5:$A$64,0)),"UNMATCHED")</f>
        <v>Lagos</v>
      </c>
      <c r="Q106" s="4" t="str">
        <f aca="false">IF(N106="UNMATCHED","Unmatched","Matched")</f>
        <v>Matched</v>
      </c>
      <c r="R106" s="4" t="str">
        <f aca="false">IF(OR(E106="No",G106="No",I106="No",L106="YES",Q106="Unmatched"),"NEEDS REVIEW","OK")</f>
        <v>NEEDS REVIEW</v>
      </c>
    </row>
    <row r="107" customFormat="false" ht="15" hidden="false" customHeight="false" outlineLevel="0" collapsed="false">
      <c r="A107" s="4" t="str">
        <f aca="false">Orders_Raw!A107</f>
        <v>ORD00080</v>
      </c>
      <c r="B107" s="4" t="str">
        <f aca="false">TRIM(UPPER(Orders_Raw!B107))</f>
        <v>CUST0024</v>
      </c>
      <c r="C107" s="4" t="str">
        <f aca="false">PROPER(TRIM(Orders_Raw!C107))</f>
        <v>Aisha Adeyemi</v>
      </c>
      <c r="D107" s="6" t="str">
        <f aca="false">IFERROR(DATEVALUE(Orders_Raw!D107),"")</f>
        <v/>
      </c>
      <c r="E107" s="4" t="str">
        <f aca="false">IF(D107="","No","Yes")</f>
        <v>No</v>
      </c>
      <c r="F107" s="4" t="n">
        <f aca="false">IFERROR(VALUE(SUBSTITUTE(SUBSTITUTE(SUBSTITUTE(Orders_Raw!G107,"$",""),"NGN",""),",","")),"")</f>
        <v>700.57</v>
      </c>
      <c r="G107" s="4" t="str">
        <f aca="false">IF(F107="","No","Yes")</f>
        <v>Yes</v>
      </c>
      <c r="H107" s="4" t="str">
        <f aca="false">Orders_Raw!F107</f>
        <v>5</v>
      </c>
      <c r="I107" s="4" t="str">
        <f aca="false">IF(H107="","No",IF(H107&lt;=0,"No","Yes"))</f>
        <v>Yes</v>
      </c>
      <c r="J107" s="4" t="str">
        <f aca="false">Orders_Raw!E107</f>
        <v>Charger</v>
      </c>
      <c r="K107" s="4" t="str">
        <f aca="false">Orders_Raw!H107</f>
        <v>2026-01-16 18:40</v>
      </c>
      <c r="L107" s="4" t="str">
        <f aca="false">IF(COUNTIF(Orders_Raw!$A$5:$A$539,A107)&gt;1,"YES","No")</f>
        <v>No</v>
      </c>
      <c r="M107" s="4" t="str">
        <f aca="false">IF(COUNTIFS($B$5:$B$539,B107,$D$5:$D$539,D107,$F$5:$F$539,F107)&gt;1,"YES","No")</f>
        <v>No</v>
      </c>
      <c r="N107" s="4" t="str">
        <f aca="false">IFERROR(INDEX(Customer_Master!$B$5:$B$64,MATCH(B107,Customer_Master!$A$5:$A$64,0)),"UNMATCHED")</f>
        <v>Aisha Adeyemi</v>
      </c>
      <c r="O107" s="4" t="str">
        <f aca="false">IFERROR(INDEX(Customer_Master!$C$5:$C$64,MATCH(B107,Customer_Master!$A$5:$A$64,0)),"UNMATCHED")</f>
        <v>At Risk</v>
      </c>
      <c r="P107" s="4" t="str">
        <f aca="false">IFERROR(INDEX(Customer_Master!$D$5:$D$64,MATCH(B107,Customer_Master!$A$5:$A$64,0)),"UNMATCHED")</f>
        <v>Enugu</v>
      </c>
      <c r="Q107" s="4" t="str">
        <f aca="false">IF(N107="UNMATCHED","Unmatched","Matched")</f>
        <v>Matched</v>
      </c>
      <c r="R107" s="4" t="str">
        <f aca="false">IF(OR(E107="No",G107="No",I107="No",L107="YES",Q107="Unmatched"),"NEEDS REVIEW","OK")</f>
        <v>NEEDS REVIEW</v>
      </c>
    </row>
    <row r="108" customFormat="false" ht="15" hidden="false" customHeight="false" outlineLevel="0" collapsed="false">
      <c r="A108" s="4" t="str">
        <f aca="false">Orders_Raw!A108</f>
        <v>ORD00052</v>
      </c>
      <c r="B108" s="4" t="str">
        <f aca="false">TRIM(UPPER(Orders_Raw!B108))</f>
        <v>CUST0008</v>
      </c>
      <c r="C108" s="4" t="str">
        <f aca="false">PROPER(TRIM(Orders_Raw!C108))</f>
        <v>Victor Duru</v>
      </c>
      <c r="D108" s="6" t="str">
        <f aca="false">IFERROR(DATEVALUE(Orders_Raw!D108),"")</f>
        <v/>
      </c>
      <c r="E108" s="4" t="str">
        <f aca="false">IF(D108="","No","Yes")</f>
        <v>No</v>
      </c>
      <c r="F108" s="4" t="n">
        <f aca="false">IFERROR(VALUE(SUBSTITUTE(SUBSTITUTE(SUBSTITUTE(Orders_Raw!G108,"$",""),"NGN",""),",","")),"")</f>
        <v>2357.55</v>
      </c>
      <c r="G108" s="4" t="str">
        <f aca="false">IF(F108="","No","Yes")</f>
        <v>Yes</v>
      </c>
      <c r="H108" s="4" t="str">
        <f aca="false">Orders_Raw!F108</f>
        <v>3</v>
      </c>
      <c r="I108" s="4" t="str">
        <f aca="false">IF(H108="","No",IF(H108&lt;=0,"No","Yes"))</f>
        <v>Yes</v>
      </c>
      <c r="J108" s="4" t="str">
        <f aca="false">Orders_Raw!E108</f>
        <v>Laptop</v>
      </c>
      <c r="K108" s="4" t="str">
        <f aca="false">Orders_Raw!H108</f>
        <v>2026-06-29 14:47</v>
      </c>
      <c r="L108" s="4" t="str">
        <f aca="false">IF(COUNTIF(Orders_Raw!$A$5:$A$539,A108)&gt;1,"YES","No")</f>
        <v>No</v>
      </c>
      <c r="M108" s="4" t="str">
        <f aca="false">IF(COUNTIFS($B$5:$B$539,B108,$D$5:$D$539,D108,$F$5:$F$539,F108)&gt;1,"YES","No")</f>
        <v>No</v>
      </c>
      <c r="N108" s="4" t="str">
        <f aca="false">IFERROR(INDEX(Customer_Master!$B$5:$B$64,MATCH(B108,Customer_Master!$A$5:$A$64,0)),"UNMATCHED")</f>
        <v>Victor Duru</v>
      </c>
      <c r="O108" s="4" t="str">
        <f aca="false">IFERROR(INDEX(Customer_Master!$C$5:$C$64,MATCH(B108,Customer_Master!$A$5:$A$64,0)),"UNMATCHED")</f>
        <v>Loyal</v>
      </c>
      <c r="P108" s="4" t="str">
        <f aca="false">IFERROR(INDEX(Customer_Master!$D$5:$D$64,MATCH(B108,Customer_Master!$A$5:$A$64,0)),"UNMATCHED")</f>
        <v>Enugu</v>
      </c>
      <c r="Q108" s="4" t="str">
        <f aca="false">IF(N108="UNMATCHED","Unmatched","Matched")</f>
        <v>Matched</v>
      </c>
      <c r="R108" s="4" t="str">
        <f aca="false">IF(OR(E108="No",G108="No",I108="No",L108="YES",Q108="Unmatched"),"NEEDS REVIEW","OK")</f>
        <v>NEEDS REVIEW</v>
      </c>
    </row>
    <row r="109" customFormat="false" ht="15" hidden="false" customHeight="false" outlineLevel="0" collapsed="false">
      <c r="A109" s="4" t="str">
        <f aca="false">Orders_Raw!A109</f>
        <v>ORD00004</v>
      </c>
      <c r="B109" s="4" t="str">
        <f aca="false">TRIM(UPPER(Orders_Raw!B109))</f>
        <v>CUST0038</v>
      </c>
      <c r="C109" s="4" t="str">
        <f aca="false">PROPER(TRIM(Orders_Raw!C109))</f>
        <v>James Sani</v>
      </c>
      <c r="D109" s="6" t="n">
        <f aca="false">IFERROR(DATEVALUE(Orders_Raw!D109),"")</f>
        <v>46214</v>
      </c>
      <c r="E109" s="4" t="str">
        <f aca="false">IF(D109="","No","Yes")</f>
        <v>Yes</v>
      </c>
      <c r="F109" s="4" t="n">
        <f aca="false">IFERROR(VALUE(SUBSTITUTE(SUBSTITUTE(SUBSTITUTE(Orders_Raw!G109,"$",""),"NGN",""),",","")),"")</f>
        <v>157.06</v>
      </c>
      <c r="G109" s="4" t="str">
        <f aca="false">IF(F109="","No","Yes")</f>
        <v>Yes</v>
      </c>
      <c r="H109" s="4" t="str">
        <f aca="false">Orders_Raw!F109</f>
        <v>2</v>
      </c>
      <c r="I109" s="4" t="str">
        <f aca="false">IF(H109="","No",IF(H109&lt;=0,"No","Yes"))</f>
        <v>Yes</v>
      </c>
      <c r="J109" s="4" t="str">
        <f aca="false">Orders_Raw!E109</f>
        <v>Headphones</v>
      </c>
      <c r="K109" s="4" t="str">
        <f aca="false">Orders_Raw!H109</f>
        <v>2026-07-11 08:32</v>
      </c>
      <c r="L109" s="4" t="str">
        <f aca="false">IF(COUNTIF(Orders_Raw!$A$5:$A$539,A109)&gt;1,"YES","No")</f>
        <v>No</v>
      </c>
      <c r="M109" s="4" t="str">
        <f aca="false">IF(COUNTIFS($B$5:$B$539,B109,$D$5:$D$539,D109,$F$5:$F$539,F109)&gt;1,"YES","No")</f>
        <v>No</v>
      </c>
      <c r="N109" s="4" t="str">
        <f aca="false">IFERROR(INDEX(Customer_Master!$B$5:$B$64,MATCH(B109,Customer_Master!$A$5:$A$64,0)),"UNMATCHED")</f>
        <v>James Sani</v>
      </c>
      <c r="O109" s="4" t="str">
        <f aca="false">IFERROR(INDEX(Customer_Master!$C$5:$C$64,MATCH(B109,Customer_Master!$A$5:$A$64,0)),"UNMATCHED")</f>
        <v>New</v>
      </c>
      <c r="P109" s="4" t="str">
        <f aca="false">IFERROR(INDEX(Customer_Master!$D$5:$D$64,MATCH(B109,Customer_Master!$A$5:$A$64,0)),"UNMATCHED")</f>
        <v>Port Harcourt</v>
      </c>
      <c r="Q109" s="4" t="str">
        <f aca="false">IF(N109="UNMATCHED","Unmatched","Matched")</f>
        <v>Matched</v>
      </c>
      <c r="R109" s="4" t="str">
        <f aca="false">IF(OR(E109="No",G109="No",I109="No",L109="YES",Q109="Unmatched"),"NEEDS REVIEW","OK")</f>
        <v>OK</v>
      </c>
    </row>
    <row r="110" customFormat="false" ht="15" hidden="false" customHeight="false" outlineLevel="0" collapsed="false">
      <c r="A110" s="4" t="str">
        <f aca="false">Orders_Raw!A110</f>
        <v>ORD00204</v>
      </c>
      <c r="B110" s="4" t="str">
        <f aca="false">TRIM(UPPER(Orders_Raw!B110))</f>
        <v>CUST0030</v>
      </c>
      <c r="C110" s="4" t="str">
        <f aca="false">PROPER(TRIM(Orders_Raw!C110))</f>
        <v>Ifeoma Ajayi</v>
      </c>
      <c r="D110" s="6" t="n">
        <f aca="false">IFERROR(DATEVALUE(Orders_Raw!D110),"")</f>
        <v>46135</v>
      </c>
      <c r="E110" s="4" t="str">
        <f aca="false">IF(D110="","No","Yes")</f>
        <v>Yes</v>
      </c>
      <c r="F110" s="4" t="n">
        <f aca="false">IFERROR(VALUE(SUBSTITUTE(SUBSTITUTE(SUBSTITUTE(Orders_Raw!G110,"$",""),"NGN",""),",","")),"")</f>
        <v>2080.74</v>
      </c>
      <c r="G110" s="4" t="str">
        <f aca="false">IF(F110="","No","Yes")</f>
        <v>Yes</v>
      </c>
      <c r="H110" s="4" t="str">
        <f aca="false">Orders_Raw!F110</f>
        <v>5</v>
      </c>
      <c r="I110" s="4" t="str">
        <f aca="false">IF(H110="","No",IF(H110&lt;=0,"No","Yes"))</f>
        <v>Yes</v>
      </c>
      <c r="J110" s="4" t="str">
        <f aca="false">Orders_Raw!E110</f>
        <v>Printer</v>
      </c>
      <c r="K110" s="4" t="str">
        <f aca="false">Orders_Raw!H110</f>
        <v>2026-04-23 10:40</v>
      </c>
      <c r="L110" s="4" t="str">
        <f aca="false">IF(COUNTIF(Orders_Raw!$A$5:$A$539,A110)&gt;1,"YES","No")</f>
        <v>No</v>
      </c>
      <c r="M110" s="4" t="str">
        <f aca="false">IF(COUNTIFS($B$5:$B$539,B110,$D$5:$D$539,D110,$F$5:$F$539,F110)&gt;1,"YES","No")</f>
        <v>No</v>
      </c>
      <c r="N110" s="4" t="str">
        <f aca="false">IFERROR(INDEX(Customer_Master!$B$5:$B$64,MATCH(B110,Customer_Master!$A$5:$A$64,0)),"UNMATCHED")</f>
        <v>Ifeoma Ajayi</v>
      </c>
      <c r="O110" s="4" t="str">
        <f aca="false">IFERROR(INDEX(Customer_Master!$C$5:$C$64,MATCH(B110,Customer_Master!$A$5:$A$64,0)),"UNMATCHED")</f>
        <v>Loyal</v>
      </c>
      <c r="P110" s="4" t="str">
        <f aca="false">IFERROR(INDEX(Customer_Master!$D$5:$D$64,MATCH(B110,Customer_Master!$A$5:$A$64,0)),"UNMATCHED")</f>
        <v>Kaduna</v>
      </c>
      <c r="Q110" s="4" t="str">
        <f aca="false">IF(N110="UNMATCHED","Unmatched","Matched")</f>
        <v>Matched</v>
      </c>
      <c r="R110" s="4" t="str">
        <f aca="false">IF(OR(E110="No",G110="No",I110="No",L110="YES",Q110="Unmatched"),"NEEDS REVIEW","OK")</f>
        <v>OK</v>
      </c>
    </row>
    <row r="111" customFormat="false" ht="15" hidden="false" customHeight="false" outlineLevel="0" collapsed="false">
      <c r="A111" s="4" t="str">
        <f aca="false">Orders_Raw!A111</f>
        <v>ORD00417</v>
      </c>
      <c r="B111" s="4" t="str">
        <f aca="false">TRIM(UPPER(Orders_Raw!B111))</f>
        <v>CUST0012</v>
      </c>
      <c r="C111" s="4" t="str">
        <f aca="false">PROPER(TRIM(Orders_Raw!C111))</f>
        <v>Kemi Sani</v>
      </c>
      <c r="D111" s="6" t="n">
        <f aca="false">IFERROR(DATEVALUE(Orders_Raw!D111),"")</f>
        <v>46116</v>
      </c>
      <c r="E111" s="4" t="str">
        <f aca="false">IF(D111="","No","Yes")</f>
        <v>Yes</v>
      </c>
      <c r="F111" s="4" t="n">
        <f aca="false">IFERROR(VALUE(SUBSTITUTE(SUBSTITUTE(SUBSTITUTE(Orders_Raw!G111,"$",""),"NGN",""),",","")),"")</f>
        <v>608.38</v>
      </c>
      <c r="G111" s="4" t="str">
        <f aca="false">IF(F111="","No","Yes")</f>
        <v>Yes</v>
      </c>
      <c r="H111" s="4" t="str">
        <f aca="false">Orders_Raw!F111</f>
        <v>4</v>
      </c>
      <c r="I111" s="4" t="str">
        <f aca="false">IF(H111="","No",IF(H111&lt;=0,"No","Yes"))</f>
        <v>Yes</v>
      </c>
      <c r="J111" s="4" t="str">
        <f aca="false">Orders_Raw!E111</f>
        <v>Charger</v>
      </c>
      <c r="K111" s="4" t="str">
        <f aca="false">Orders_Raw!H111</f>
        <v>2026-04-04 16:43</v>
      </c>
      <c r="L111" s="4" t="str">
        <f aca="false">IF(COUNTIF(Orders_Raw!$A$5:$A$539,A111)&gt;1,"YES","No")</f>
        <v>No</v>
      </c>
      <c r="M111" s="4" t="str">
        <f aca="false">IF(COUNTIFS($B$5:$B$539,B111,$D$5:$D$539,D111,$F$5:$F$539,F111)&gt;1,"YES","No")</f>
        <v>No</v>
      </c>
      <c r="N111" s="4" t="str">
        <f aca="false">IFERROR(INDEX(Customer_Master!$B$5:$B$64,MATCH(B111,Customer_Master!$A$5:$A$64,0)),"UNMATCHED")</f>
        <v>Kemi Sani</v>
      </c>
      <c r="O111" s="4" t="str">
        <f aca="false">IFERROR(INDEX(Customer_Master!$C$5:$C$64,MATCH(B111,Customer_Master!$A$5:$A$64,0)),"UNMATCHED")</f>
        <v>Champions</v>
      </c>
      <c r="P111" s="4" t="str">
        <f aca="false">IFERROR(INDEX(Customer_Master!$D$5:$D$64,MATCH(B111,Customer_Master!$A$5:$A$64,0)),"UNMATCHED")</f>
        <v>Kaduna</v>
      </c>
      <c r="Q111" s="4" t="str">
        <f aca="false">IF(N111="UNMATCHED","Unmatched","Matched")</f>
        <v>Matched</v>
      </c>
      <c r="R111" s="4" t="str">
        <f aca="false">IF(OR(E111="No",G111="No",I111="No",L111="YES",Q111="Unmatched"),"NEEDS REVIEW","OK")</f>
        <v>OK</v>
      </c>
    </row>
    <row r="112" customFormat="false" ht="15" hidden="false" customHeight="false" outlineLevel="0" collapsed="false">
      <c r="A112" s="4" t="str">
        <f aca="false">Orders_Raw!A112</f>
        <v>ORD00505</v>
      </c>
      <c r="B112" s="4" t="str">
        <f aca="false">TRIM(UPPER(Orders_Raw!B112))</f>
        <v>CUST0052</v>
      </c>
      <c r="C112" s="4" t="str">
        <f aca="false">PROPER(TRIM(Orders_Raw!C112))</f>
        <v>Mary Adeyemi</v>
      </c>
      <c r="D112" s="6" t="n">
        <f aca="false">IFERROR(DATEVALUE(Orders_Raw!D112),"")</f>
        <v>46220</v>
      </c>
      <c r="E112" s="4" t="str">
        <f aca="false">IF(D112="","No","Yes")</f>
        <v>Yes</v>
      </c>
      <c r="F112" s="4" t="n">
        <f aca="false">IFERROR(VALUE(SUBSTITUTE(SUBSTITUTE(SUBSTITUTE(Orders_Raw!G112,"$",""),"NGN",""),",","")),"")</f>
        <v>1839.77</v>
      </c>
      <c r="G112" s="4" t="str">
        <f aca="false">IF(F112="","No","Yes")</f>
        <v>Yes</v>
      </c>
      <c r="H112" s="4" t="str">
        <f aca="false">Orders_Raw!F112</f>
        <v>5</v>
      </c>
      <c r="I112" s="4" t="str">
        <f aca="false">IF(H112="","No",IF(H112&lt;=0,"No","Yes"))</f>
        <v>Yes</v>
      </c>
      <c r="J112" s="4" t="str">
        <f aca="false">Orders_Raw!E112</f>
        <v>Headphones</v>
      </c>
      <c r="K112" s="4" t="str">
        <f aca="false">Orders_Raw!H112</f>
        <v>2026-07-17 13:35</v>
      </c>
      <c r="L112" s="4" t="str">
        <f aca="false">IF(COUNTIF(Orders_Raw!$A$5:$A$539,A112)&gt;1,"YES","No")</f>
        <v>No</v>
      </c>
      <c r="M112" s="4" t="str">
        <f aca="false">IF(COUNTIFS($B$5:$B$539,B112,$D$5:$D$539,D112,$F$5:$F$539,F112)&gt;1,"YES","No")</f>
        <v>No</v>
      </c>
      <c r="N112" s="4" t="str">
        <f aca="false">IFERROR(INDEX(Customer_Master!$B$5:$B$64,MATCH(B112,Customer_Master!$A$5:$A$64,0)),"UNMATCHED")</f>
        <v>Mary Adeyemi</v>
      </c>
      <c r="O112" s="4" t="str">
        <f aca="false">IFERROR(INDEX(Customer_Master!$C$5:$C$64,MATCH(B112,Customer_Master!$A$5:$A$64,0)),"UNMATCHED")</f>
        <v>Loyal</v>
      </c>
      <c r="P112" s="4" t="str">
        <f aca="false">IFERROR(INDEX(Customer_Master!$D$5:$D$64,MATCH(B112,Customer_Master!$A$5:$A$64,0)),"UNMATCHED")</f>
        <v>Abuja</v>
      </c>
      <c r="Q112" s="4" t="str">
        <f aca="false">IF(N112="UNMATCHED","Unmatched","Matched")</f>
        <v>Matched</v>
      </c>
      <c r="R112" s="4" t="str">
        <f aca="false">IF(OR(E112="No",G112="No",I112="No",L112="YES",Q112="Unmatched"),"NEEDS REVIEW","OK")</f>
        <v>OK</v>
      </c>
    </row>
    <row r="113" customFormat="false" ht="15" hidden="false" customHeight="false" outlineLevel="0" collapsed="false">
      <c r="A113" s="4" t="str">
        <f aca="false">Orders_Raw!A113</f>
        <v>ORD00087</v>
      </c>
      <c r="B113" s="4" t="str">
        <f aca="false">TRIM(UPPER(Orders_Raw!B113))</f>
        <v>CUST0021</v>
      </c>
      <c r="C113" s="4" t="str">
        <f aca="false">PROPER(TRIM(Orders_Raw!C113))</f>
        <v>Joy Ajayi</v>
      </c>
      <c r="D113" s="6" t="n">
        <f aca="false">IFERROR(DATEVALUE(Orders_Raw!D113),"")</f>
        <v>46158</v>
      </c>
      <c r="E113" s="4" t="str">
        <f aca="false">IF(D113="","No","Yes")</f>
        <v>Yes</v>
      </c>
      <c r="F113" s="4" t="n">
        <f aca="false">IFERROR(VALUE(SUBSTITUTE(SUBSTITUTE(SUBSTITUTE(Orders_Raw!G113,"$",""),"NGN",""),",","")),"")</f>
        <v>1142.48</v>
      </c>
      <c r="G113" s="4" t="str">
        <f aca="false">IF(F113="","No","Yes")</f>
        <v>Yes</v>
      </c>
      <c r="H113" s="4" t="str">
        <f aca="false">Orders_Raw!F113</f>
        <v>2</v>
      </c>
      <c r="I113" s="4" t="str">
        <f aca="false">IF(H113="","No",IF(H113&lt;=0,"No","Yes"))</f>
        <v>Yes</v>
      </c>
      <c r="J113" s="4" t="str">
        <f aca="false">Orders_Raw!E113</f>
        <v>Tablet</v>
      </c>
      <c r="K113" s="4" t="str">
        <f aca="false">Orders_Raw!H113</f>
        <v>2026-05-16 11:27</v>
      </c>
      <c r="L113" s="4" t="str">
        <f aca="false">IF(COUNTIF(Orders_Raw!$A$5:$A$539,A113)&gt;1,"YES","No")</f>
        <v>No</v>
      </c>
      <c r="M113" s="4" t="str">
        <f aca="false">IF(COUNTIFS($B$5:$B$539,B113,$D$5:$D$539,D113,$F$5:$F$539,F113)&gt;1,"YES","No")</f>
        <v>No</v>
      </c>
      <c r="N113" s="4" t="str">
        <f aca="false">IFERROR(INDEX(Customer_Master!$B$5:$B$64,MATCH(B113,Customer_Master!$A$5:$A$64,0)),"UNMATCHED")</f>
        <v>Joy Ajayi</v>
      </c>
      <c r="O113" s="4" t="str">
        <f aca="false">IFERROR(INDEX(Customer_Master!$C$5:$C$64,MATCH(B113,Customer_Master!$A$5:$A$64,0)),"UNMATCHED")</f>
        <v>Loyal</v>
      </c>
      <c r="P113" s="4" t="str">
        <f aca="false">IFERROR(INDEX(Customer_Master!$D$5:$D$64,MATCH(B113,Customer_Master!$A$5:$A$64,0)),"UNMATCHED")</f>
        <v>Kaduna</v>
      </c>
      <c r="Q113" s="4" t="str">
        <f aca="false">IF(N113="UNMATCHED","Unmatched","Matched")</f>
        <v>Matched</v>
      </c>
      <c r="R113" s="4" t="str">
        <f aca="false">IF(OR(E113="No",G113="No",I113="No",L113="YES",Q113="Unmatched"),"NEEDS REVIEW","OK")</f>
        <v>OK</v>
      </c>
    </row>
    <row r="114" customFormat="false" ht="15" hidden="false" customHeight="false" outlineLevel="0" collapsed="false">
      <c r="A114" s="4" t="str">
        <f aca="false">Orders_Raw!A114</f>
        <v>ORD00342</v>
      </c>
      <c r="B114" s="4" t="str">
        <f aca="false">TRIM(UPPER(Orders_Raw!B114))</f>
        <v>CUST0005</v>
      </c>
      <c r="C114" s="4" t="str">
        <f aca="false">PROPER(TRIM(Orders_Raw!C114))</f>
        <v>Tunde Nnamdi</v>
      </c>
      <c r="D114" s="6" t="str">
        <f aca="false">IFERROR(DATEVALUE(Orders_Raw!D114),"")</f>
        <v/>
      </c>
      <c r="E114" s="4" t="str">
        <f aca="false">IF(D114="","No","Yes")</f>
        <v>No</v>
      </c>
      <c r="F114" s="4" t="n">
        <f aca="false">IFERROR(VALUE(SUBSTITUTE(SUBSTITUTE(SUBSTITUTE(Orders_Raw!G114,"$",""),"NGN",""),",","")),"")</f>
        <v>2091.63</v>
      </c>
      <c r="G114" s="4" t="str">
        <f aca="false">IF(F114="","No","Yes")</f>
        <v>Yes</v>
      </c>
      <c r="H114" s="4" t="str">
        <f aca="false">Orders_Raw!F114</f>
        <v>3</v>
      </c>
      <c r="I114" s="4" t="str">
        <f aca="false">IF(H114="","No",IF(H114&lt;=0,"No","Yes"))</f>
        <v>Yes</v>
      </c>
      <c r="J114" s="4" t="str">
        <f aca="false">Orders_Raw!E114</f>
        <v>Monitor</v>
      </c>
      <c r="K114" s="4" t="str">
        <f aca="false">Orders_Raw!H114</f>
        <v>2026-06-25 18:52</v>
      </c>
      <c r="L114" s="4" t="str">
        <f aca="false">IF(COUNTIF(Orders_Raw!$A$5:$A$539,A114)&gt;1,"YES","No")</f>
        <v>No</v>
      </c>
      <c r="M114" s="4" t="str">
        <f aca="false">IF(COUNTIFS($B$5:$B$539,B114,$D$5:$D$539,D114,$F$5:$F$539,F114)&gt;1,"YES","No")</f>
        <v>No</v>
      </c>
      <c r="N114" s="4" t="str">
        <f aca="false">IFERROR(INDEX(Customer_Master!$B$5:$B$64,MATCH(B114,Customer_Master!$A$5:$A$64,0)),"UNMATCHED")</f>
        <v>Tunde Nnamdi</v>
      </c>
      <c r="O114" s="4" t="str">
        <f aca="false">IFERROR(INDEX(Customer_Master!$C$5:$C$64,MATCH(B114,Customer_Master!$A$5:$A$64,0)),"UNMATCHED")</f>
        <v>New</v>
      </c>
      <c r="P114" s="4" t="str">
        <f aca="false">IFERROR(INDEX(Customer_Master!$D$5:$D$64,MATCH(B114,Customer_Master!$A$5:$A$64,0)),"UNMATCHED")</f>
        <v>Lagos</v>
      </c>
      <c r="Q114" s="4" t="str">
        <f aca="false">IF(N114="UNMATCHED","Unmatched","Matched")</f>
        <v>Matched</v>
      </c>
      <c r="R114" s="4" t="str">
        <f aca="false">IF(OR(E114="No",G114="No",I114="No",L114="YES",Q114="Unmatched"),"NEEDS REVIEW","OK")</f>
        <v>NEEDS REVIEW</v>
      </c>
    </row>
    <row r="115" customFormat="false" ht="15" hidden="false" customHeight="false" outlineLevel="0" collapsed="false">
      <c r="A115" s="4" t="str">
        <f aca="false">Orders_Raw!A115</f>
        <v>ORD00206</v>
      </c>
      <c r="B115" s="4" t="str">
        <f aca="false">TRIM(UPPER(Orders_Raw!B115))</f>
        <v>CUST0060</v>
      </c>
      <c r="C115" s="4" t="str">
        <f aca="false">PROPER(TRIM(Orders_Raw!C115))</f>
        <v>James Umeh</v>
      </c>
      <c r="D115" s="6" t="str">
        <f aca="false">IFERROR(DATEVALUE(Orders_Raw!D115),"")</f>
        <v/>
      </c>
      <c r="E115" s="4" t="str">
        <f aca="false">IF(D115="","No","Yes")</f>
        <v>No</v>
      </c>
      <c r="F115" s="4" t="n">
        <f aca="false">IFERROR(VALUE(SUBSTITUTE(SUBSTITUTE(SUBSTITUTE(Orders_Raw!G115,"$",""),"NGN",""),",","")),"")</f>
        <v>1979.94</v>
      </c>
      <c r="G115" s="4" t="str">
        <f aca="false">IF(F115="","No","Yes")</f>
        <v>Yes</v>
      </c>
      <c r="H115" s="4" t="str">
        <f aca="false">Orders_Raw!F115</f>
        <v>4</v>
      </c>
      <c r="I115" s="4" t="str">
        <f aca="false">IF(H115="","No",IF(H115&lt;=0,"No","Yes"))</f>
        <v>Yes</v>
      </c>
      <c r="J115" s="4" t="str">
        <f aca="false">Orders_Raw!E115</f>
        <v>Phone</v>
      </c>
      <c r="K115" s="4" t="str">
        <f aca="false">Orders_Raw!H115</f>
        <v>2026-05-20 09:49</v>
      </c>
      <c r="L115" s="4" t="str">
        <f aca="false">IF(COUNTIF(Orders_Raw!$A$5:$A$539,A115)&gt;1,"YES","No")</f>
        <v>No</v>
      </c>
      <c r="M115" s="4" t="str">
        <f aca="false">IF(COUNTIFS($B$5:$B$539,B115,$D$5:$D$539,D115,$F$5:$F$539,F115)&gt;1,"YES","No")</f>
        <v>No</v>
      </c>
      <c r="N115" s="4" t="str">
        <f aca="false">IFERROR(INDEX(Customer_Master!$B$5:$B$64,MATCH(B115,Customer_Master!$A$5:$A$64,0)),"UNMATCHED")</f>
        <v>James Umeh</v>
      </c>
      <c r="O115" s="4" t="str">
        <f aca="false">IFERROR(INDEX(Customer_Master!$C$5:$C$64,MATCH(B115,Customer_Master!$A$5:$A$64,0)),"UNMATCHED")</f>
        <v>Champions</v>
      </c>
      <c r="P115" s="4" t="str">
        <f aca="false">IFERROR(INDEX(Customer_Master!$D$5:$D$64,MATCH(B115,Customer_Master!$A$5:$A$64,0)),"UNMATCHED")</f>
        <v>Kano</v>
      </c>
      <c r="Q115" s="4" t="str">
        <f aca="false">IF(N115="UNMATCHED","Unmatched","Matched")</f>
        <v>Matched</v>
      </c>
      <c r="R115" s="4" t="str">
        <f aca="false">IF(OR(E115="No",G115="No",I115="No",L115="YES",Q115="Unmatched"),"NEEDS REVIEW","OK")</f>
        <v>NEEDS REVIEW</v>
      </c>
    </row>
    <row r="116" customFormat="false" ht="15" hidden="false" customHeight="false" outlineLevel="0" collapsed="false">
      <c r="A116" s="4" t="str">
        <f aca="false">Orders_Raw!A116</f>
        <v>ORD00062</v>
      </c>
      <c r="B116" s="4" t="str">
        <f aca="false">TRIM(UPPER(Orders_Raw!B116))</f>
        <v>CUST0049</v>
      </c>
      <c r="C116" s="4" t="str">
        <f aca="false">PROPER(TRIM(Orders_Raw!C116))</f>
        <v>Bisi Ajayi</v>
      </c>
      <c r="D116" s="6" t="n">
        <f aca="false">IFERROR(DATEVALUE(Orders_Raw!D116),"")</f>
        <v>46105</v>
      </c>
      <c r="E116" s="4" t="str">
        <f aca="false">IF(D116="","No","Yes")</f>
        <v>Yes</v>
      </c>
      <c r="F116" s="4" t="n">
        <f aca="false">IFERROR(VALUE(SUBSTITUTE(SUBSTITUTE(SUBSTITUTE(Orders_Raw!G116,"$",""),"NGN",""),",","")),"")</f>
        <v>2452.22</v>
      </c>
      <c r="G116" s="4" t="str">
        <f aca="false">IF(F116="","No","Yes")</f>
        <v>Yes</v>
      </c>
      <c r="H116" s="4" t="str">
        <f aca="false">Orders_Raw!F116</f>
        <v>3</v>
      </c>
      <c r="I116" s="4" t="str">
        <f aca="false">IF(H116="","No",IF(H116&lt;=0,"No","Yes"))</f>
        <v>Yes</v>
      </c>
      <c r="J116" s="4" t="str">
        <f aca="false">Orders_Raw!E116</f>
        <v>Monitor</v>
      </c>
      <c r="K116" s="4" t="str">
        <f aca="false">Orders_Raw!H116</f>
        <v>2026-03-24 08:20</v>
      </c>
      <c r="L116" s="4" t="str">
        <f aca="false">IF(COUNTIF(Orders_Raw!$A$5:$A$539,A116)&gt;1,"YES","No")</f>
        <v>No</v>
      </c>
      <c r="M116" s="4" t="str">
        <f aca="false">IF(COUNTIFS($B$5:$B$539,B116,$D$5:$D$539,D116,$F$5:$F$539,F116)&gt;1,"YES","No")</f>
        <v>No</v>
      </c>
      <c r="N116" s="4" t="str">
        <f aca="false">IFERROR(INDEX(Customer_Master!$B$5:$B$64,MATCH(B116,Customer_Master!$A$5:$A$64,0)),"UNMATCHED")</f>
        <v>Bisi Ajayi</v>
      </c>
      <c r="O116" s="4" t="str">
        <f aca="false">IFERROR(INDEX(Customer_Master!$C$5:$C$64,MATCH(B116,Customer_Master!$A$5:$A$64,0)),"UNMATCHED")</f>
        <v>Loyal</v>
      </c>
      <c r="P116" s="4" t="str">
        <f aca="false">IFERROR(INDEX(Customer_Master!$D$5:$D$64,MATCH(B116,Customer_Master!$A$5:$A$64,0)),"UNMATCHED")</f>
        <v>Abuja</v>
      </c>
      <c r="Q116" s="4" t="str">
        <f aca="false">IF(N116="UNMATCHED","Unmatched","Matched")</f>
        <v>Matched</v>
      </c>
      <c r="R116" s="4" t="str">
        <f aca="false">IF(OR(E116="No",G116="No",I116="No",L116="YES",Q116="Unmatched"),"NEEDS REVIEW","OK")</f>
        <v>OK</v>
      </c>
    </row>
    <row r="117" customFormat="false" ht="15" hidden="false" customHeight="false" outlineLevel="0" collapsed="false">
      <c r="A117" s="4" t="str">
        <f aca="false">Orders_Raw!A117</f>
        <v>ORD00119</v>
      </c>
      <c r="B117" s="4" t="str">
        <f aca="false">TRIM(UPPER(Orders_Raw!B117))</f>
        <v>CUST0036</v>
      </c>
      <c r="C117" s="4" t="str">
        <f aca="false">PROPER(TRIM(Orders_Raw!C117))</f>
        <v>Chidi Lawal</v>
      </c>
      <c r="D117" s="6" t="str">
        <f aca="false">IFERROR(DATEVALUE(Orders_Raw!D117),"")</f>
        <v/>
      </c>
      <c r="E117" s="4" t="str">
        <f aca="false">IF(D117="","No","Yes")</f>
        <v>No</v>
      </c>
      <c r="F117" s="4" t="n">
        <f aca="false">IFERROR(VALUE(SUBSTITUTE(SUBSTITUTE(SUBSTITUTE(Orders_Raw!G117,"$",""),"NGN",""),",","")),"")</f>
        <v>18.89</v>
      </c>
      <c r="G117" s="4" t="str">
        <f aca="false">IF(F117="","No","Yes")</f>
        <v>Yes</v>
      </c>
      <c r="H117" s="4" t="str">
        <f aca="false">Orders_Raw!F117</f>
        <v>1</v>
      </c>
      <c r="I117" s="4" t="str">
        <f aca="false">IF(H117="","No",IF(H117&lt;=0,"No","Yes"))</f>
        <v>Yes</v>
      </c>
      <c r="J117" s="4" t="str">
        <f aca="false">Orders_Raw!E117</f>
        <v>Phone</v>
      </c>
      <c r="K117" s="4" t="str">
        <f aca="false">Orders_Raw!H117</f>
        <v>2026-03-16 16:23</v>
      </c>
      <c r="L117" s="4" t="str">
        <f aca="false">IF(COUNTIF(Orders_Raw!$A$5:$A$539,A117)&gt;1,"YES","No")</f>
        <v>No</v>
      </c>
      <c r="M117" s="4" t="str">
        <f aca="false">IF(COUNTIFS($B$5:$B$539,B117,$D$5:$D$539,D117,$F$5:$F$539,F117)&gt;1,"YES","No")</f>
        <v>No</v>
      </c>
      <c r="N117" s="4" t="str">
        <f aca="false">IFERROR(INDEX(Customer_Master!$B$5:$B$64,MATCH(B117,Customer_Master!$A$5:$A$64,0)),"UNMATCHED")</f>
        <v>Esther Umeh</v>
      </c>
      <c r="O117" s="4" t="str">
        <f aca="false">IFERROR(INDEX(Customer_Master!$C$5:$C$64,MATCH(B117,Customer_Master!$A$5:$A$64,0)),"UNMATCHED")</f>
        <v>Champions</v>
      </c>
      <c r="P117" s="4" t="str">
        <f aca="false">IFERROR(INDEX(Customer_Master!$D$5:$D$64,MATCH(B117,Customer_Master!$A$5:$A$64,0)),"UNMATCHED")</f>
        <v>Ibadan</v>
      </c>
      <c r="Q117" s="4" t="str">
        <f aca="false">IF(N117="UNMATCHED","Unmatched","Matched")</f>
        <v>Matched</v>
      </c>
      <c r="R117" s="4" t="str">
        <f aca="false">IF(OR(E117="No",G117="No",I117="No",L117="YES",Q117="Unmatched"),"NEEDS REVIEW","OK")</f>
        <v>NEEDS REVIEW</v>
      </c>
    </row>
    <row r="118" customFormat="false" ht="15" hidden="false" customHeight="false" outlineLevel="0" collapsed="false">
      <c r="A118" s="4" t="str">
        <f aca="false">Orders_Raw!A118</f>
        <v>ORD00441</v>
      </c>
      <c r="B118" s="4" t="str">
        <f aca="false">TRIM(UPPER(Orders_Raw!B118))</f>
        <v>CUST0056</v>
      </c>
      <c r="C118" s="4" t="str">
        <f aca="false">PROPER(TRIM(Orders_Raw!C118))</f>
        <v>Tunde Yakubu</v>
      </c>
      <c r="D118" s="6" t="n">
        <f aca="false">IFERROR(DATEVALUE(Orders_Raw!D118),"")</f>
        <v>46070</v>
      </c>
      <c r="E118" s="4" t="str">
        <f aca="false">IF(D118="","No","Yes")</f>
        <v>Yes</v>
      </c>
      <c r="F118" s="4" t="n">
        <f aca="false">IFERROR(VALUE(SUBSTITUTE(SUBSTITUTE(SUBSTITUTE(Orders_Raw!G118,"$",""),"NGN",""),",","")),"")</f>
        <v>1259.12</v>
      </c>
      <c r="G118" s="4" t="str">
        <f aca="false">IF(F118="","No","Yes")</f>
        <v>Yes</v>
      </c>
      <c r="H118" s="4" t="str">
        <f aca="false">Orders_Raw!F118</f>
        <v>3</v>
      </c>
      <c r="I118" s="4" t="str">
        <f aca="false">IF(H118="","No",IF(H118&lt;=0,"No","Yes"))</f>
        <v>Yes</v>
      </c>
      <c r="J118" s="4" t="str">
        <f aca="false">Orders_Raw!E118</f>
        <v>Charger</v>
      </c>
      <c r="K118" s="4" t="str">
        <f aca="false">Orders_Raw!H118</f>
        <v>2026-02-17 16:19</v>
      </c>
      <c r="L118" s="4" t="str">
        <f aca="false">IF(COUNTIF(Orders_Raw!$A$5:$A$539,A118)&gt;1,"YES","No")</f>
        <v>No</v>
      </c>
      <c r="M118" s="4" t="str">
        <f aca="false">IF(COUNTIFS($B$5:$B$539,B118,$D$5:$D$539,D118,$F$5:$F$539,F118)&gt;1,"YES","No")</f>
        <v>No</v>
      </c>
      <c r="N118" s="4" t="str">
        <f aca="false">IFERROR(INDEX(Customer_Master!$B$5:$B$64,MATCH(B118,Customer_Master!$A$5:$A$64,0)),"UNMATCHED")</f>
        <v>Tunde Yakubu</v>
      </c>
      <c r="O118" s="4" t="str">
        <f aca="false">IFERROR(INDEX(Customer_Master!$C$5:$C$64,MATCH(B118,Customer_Master!$A$5:$A$64,0)),"UNMATCHED")</f>
        <v>Lost / Low-Value</v>
      </c>
      <c r="P118" s="4" t="str">
        <f aca="false">IFERROR(INDEX(Customer_Master!$D$5:$D$64,MATCH(B118,Customer_Master!$A$5:$A$64,0)),"UNMATCHED")</f>
        <v>Kano</v>
      </c>
      <c r="Q118" s="4" t="str">
        <f aca="false">IF(N118="UNMATCHED","Unmatched","Matched")</f>
        <v>Matched</v>
      </c>
      <c r="R118" s="4" t="str">
        <f aca="false">IF(OR(E118="No",G118="No",I118="No",L118="YES",Q118="Unmatched"),"NEEDS REVIEW","OK")</f>
        <v>OK</v>
      </c>
    </row>
    <row r="119" customFormat="false" ht="15" hidden="false" customHeight="false" outlineLevel="0" collapsed="false">
      <c r="A119" s="4" t="str">
        <f aca="false">Orders_Raw!A119</f>
        <v>ORD00200</v>
      </c>
      <c r="B119" s="4" t="str">
        <f aca="false">TRIM(UPPER(Orders_Raw!B119))</f>
        <v>CUST0031</v>
      </c>
      <c r="C119" s="4" t="str">
        <f aca="false">PROPER(TRIM(Orders_Raw!C119))</f>
        <v>Emeka Adeyemi</v>
      </c>
      <c r="D119" s="6" t="n">
        <f aca="false">IFERROR(DATEVALUE(Orders_Raw!D119),"")</f>
        <v>46087</v>
      </c>
      <c r="E119" s="4" t="str">
        <f aca="false">IF(D119="","No","Yes")</f>
        <v>Yes</v>
      </c>
      <c r="F119" s="4" t="n">
        <f aca="false">IFERROR(VALUE(SUBSTITUTE(SUBSTITUTE(SUBSTITUTE(Orders_Raw!G119,"$",""),"NGN",""),",","")),"")</f>
        <v>1806.44</v>
      </c>
      <c r="G119" s="4" t="str">
        <f aca="false">IF(F119="","No","Yes")</f>
        <v>Yes</v>
      </c>
      <c r="H119" s="4" t="str">
        <f aca="false">Orders_Raw!F119</f>
        <v>3</v>
      </c>
      <c r="I119" s="4" t="str">
        <f aca="false">IF(H119="","No",IF(H119&lt;=0,"No","Yes"))</f>
        <v>Yes</v>
      </c>
      <c r="J119" s="4" t="str">
        <f aca="false">Orders_Raw!E119</f>
        <v>Headphones</v>
      </c>
      <c r="K119" s="4" t="str">
        <f aca="false">Orders_Raw!H119</f>
        <v>2026-03-06 12:00</v>
      </c>
      <c r="L119" s="4" t="str">
        <f aca="false">IF(COUNTIF(Orders_Raw!$A$5:$A$539,A119)&gt;1,"YES","No")</f>
        <v>No</v>
      </c>
      <c r="M119" s="4" t="str">
        <f aca="false">IF(COUNTIFS($B$5:$B$539,B119,$D$5:$D$539,D119,$F$5:$F$539,F119)&gt;1,"YES","No")</f>
        <v>No</v>
      </c>
      <c r="N119" s="4" t="str">
        <f aca="false">IFERROR(INDEX(Customer_Master!$B$5:$B$64,MATCH(B119,Customer_Master!$A$5:$A$64,0)),"UNMATCHED")</f>
        <v>Emeka Adeyemi</v>
      </c>
      <c r="O119" s="4" t="str">
        <f aca="false">IFERROR(INDEX(Customer_Master!$C$5:$C$64,MATCH(B119,Customer_Master!$A$5:$A$64,0)),"UNMATCHED")</f>
        <v>Champions</v>
      </c>
      <c r="P119" s="4" t="str">
        <f aca="false">IFERROR(INDEX(Customer_Master!$D$5:$D$64,MATCH(B119,Customer_Master!$A$5:$A$64,0)),"UNMATCHED")</f>
        <v>Port Harcourt</v>
      </c>
      <c r="Q119" s="4" t="str">
        <f aca="false">IF(N119="UNMATCHED","Unmatched","Matched")</f>
        <v>Matched</v>
      </c>
      <c r="R119" s="4" t="str">
        <f aca="false">IF(OR(E119="No",G119="No",I119="No",L119="YES",Q119="Unmatched"),"NEEDS REVIEW","OK")</f>
        <v>OK</v>
      </c>
    </row>
    <row r="120" customFormat="false" ht="15" hidden="false" customHeight="false" outlineLevel="0" collapsed="false">
      <c r="A120" s="4" t="str">
        <f aca="false">Orders_Raw!A120</f>
        <v>ORD00183</v>
      </c>
      <c r="B120" s="4" t="str">
        <f aca="false">TRIM(UPPER(Orders_Raw!B120))</f>
        <v>CUST0033</v>
      </c>
      <c r="C120" s="4" t="str">
        <f aca="false">PROPER(TRIM(Orders_Raw!C120))</f>
        <v>Musa Abubakar</v>
      </c>
      <c r="D120" s="6" t="str">
        <f aca="false">IFERROR(DATEVALUE(Orders_Raw!D120),"")</f>
        <v/>
      </c>
      <c r="E120" s="4" t="str">
        <f aca="false">IF(D120="","No","Yes")</f>
        <v>No</v>
      </c>
      <c r="F120" s="4" t="n">
        <f aca="false">IFERROR(VALUE(SUBSTITUTE(SUBSTITUTE(SUBSTITUTE(Orders_Raw!G120,"$",""),"NGN",""),",","")),"")</f>
        <v>1907.65</v>
      </c>
      <c r="G120" s="4" t="str">
        <f aca="false">IF(F120="","No","Yes")</f>
        <v>Yes</v>
      </c>
      <c r="H120" s="4" t="str">
        <f aca="false">Orders_Raw!F120</f>
        <v>1</v>
      </c>
      <c r="I120" s="4" t="str">
        <f aca="false">IF(H120="","No",IF(H120&lt;=0,"No","Yes"))</f>
        <v>Yes</v>
      </c>
      <c r="J120" s="4" t="str">
        <f aca="false">Orders_Raw!E120</f>
        <v>Speaker</v>
      </c>
      <c r="K120" s="4" t="str">
        <f aca="false">Orders_Raw!H120</f>
        <v>2026-01-26 11:47</v>
      </c>
      <c r="L120" s="4" t="str">
        <f aca="false">IF(COUNTIF(Orders_Raw!$A$5:$A$539,A120)&gt;1,"YES","No")</f>
        <v>No</v>
      </c>
      <c r="M120" s="4" t="str">
        <f aca="false">IF(COUNTIFS($B$5:$B$539,B120,$D$5:$D$539,D120,$F$5:$F$539,F120)&gt;1,"YES","No")</f>
        <v>No</v>
      </c>
      <c r="N120" s="4" t="str">
        <f aca="false">IFERROR(INDEX(Customer_Master!$B$5:$B$64,MATCH(B120,Customer_Master!$A$5:$A$64,0)),"UNMATCHED")</f>
        <v>Musa Abubakar</v>
      </c>
      <c r="O120" s="4" t="str">
        <f aca="false">IFERROR(INDEX(Customer_Master!$C$5:$C$64,MATCH(B120,Customer_Master!$A$5:$A$64,0)),"UNMATCHED")</f>
        <v>New</v>
      </c>
      <c r="P120" s="4" t="str">
        <f aca="false">IFERROR(INDEX(Customer_Master!$D$5:$D$64,MATCH(B120,Customer_Master!$A$5:$A$64,0)),"UNMATCHED")</f>
        <v>Kaduna</v>
      </c>
      <c r="Q120" s="4" t="str">
        <f aca="false">IF(N120="UNMATCHED","Unmatched","Matched")</f>
        <v>Matched</v>
      </c>
      <c r="R120" s="4" t="str">
        <f aca="false">IF(OR(E120="No",G120="No",I120="No",L120="YES",Q120="Unmatched"),"NEEDS REVIEW","OK")</f>
        <v>NEEDS REVIEW</v>
      </c>
    </row>
    <row r="121" customFormat="false" ht="15" hidden="false" customHeight="false" outlineLevel="0" collapsed="false">
      <c r="A121" s="4" t="str">
        <f aca="false">Orders_Raw!A121</f>
        <v>ORD00290</v>
      </c>
      <c r="B121" s="4" t="str">
        <f aca="false">TRIM(UPPER(Orders_Raw!B121))</f>
        <v>CUST0011</v>
      </c>
      <c r="C121" s="4" t="str">
        <f aca="false">PROPER(TRIM(Orders_Raw!C121))</f>
        <v>Musa Lawal</v>
      </c>
      <c r="D121" s="6" t="n">
        <f aca="false">IFERROR(DATEVALUE(Orders_Raw!D121),"")</f>
        <v>46333</v>
      </c>
      <c r="E121" s="4" t="str">
        <f aca="false">IF(D121="","No","Yes")</f>
        <v>Yes</v>
      </c>
      <c r="F121" s="4" t="n">
        <f aca="false">IFERROR(VALUE(SUBSTITUTE(SUBSTITUTE(SUBSTITUTE(Orders_Raw!G121,"$",""),"NGN",""),",","")),"")</f>
        <v>723.4</v>
      </c>
      <c r="G121" s="4" t="str">
        <f aca="false">IF(F121="","No","Yes")</f>
        <v>Yes</v>
      </c>
      <c r="H121" s="4" t="str">
        <f aca="false">Orders_Raw!F121</f>
        <v>1</v>
      </c>
      <c r="I121" s="4" t="str">
        <f aca="false">IF(H121="","No",IF(H121&lt;=0,"No","Yes"))</f>
        <v>Yes</v>
      </c>
      <c r="J121" s="4" t="str">
        <f aca="false">Orders_Raw!E121</f>
        <v>Charger</v>
      </c>
      <c r="K121" s="4" t="str">
        <f aca="false">Orders_Raw!H121</f>
        <v>2026-07-11 11:41</v>
      </c>
      <c r="L121" s="4" t="str">
        <f aca="false">IF(COUNTIF(Orders_Raw!$A$5:$A$539,A121)&gt;1,"YES","No")</f>
        <v>No</v>
      </c>
      <c r="M121" s="4" t="str">
        <f aca="false">IF(COUNTIFS($B$5:$B$539,B121,$D$5:$D$539,D121,$F$5:$F$539,F121)&gt;1,"YES","No")</f>
        <v>No</v>
      </c>
      <c r="N121" s="4" t="str">
        <f aca="false">IFERROR(INDEX(Customer_Master!$B$5:$B$64,MATCH(B121,Customer_Master!$A$5:$A$64,0)),"UNMATCHED")</f>
        <v>Musa Lawal</v>
      </c>
      <c r="O121" s="4" t="str">
        <f aca="false">IFERROR(INDEX(Customer_Master!$C$5:$C$64,MATCH(B121,Customer_Master!$A$5:$A$64,0)),"UNMATCHED")</f>
        <v>At Risk</v>
      </c>
      <c r="P121" s="4" t="str">
        <f aca="false">IFERROR(INDEX(Customer_Master!$D$5:$D$64,MATCH(B121,Customer_Master!$A$5:$A$64,0)),"UNMATCHED")</f>
        <v>Jos</v>
      </c>
      <c r="Q121" s="4" t="str">
        <f aca="false">IF(N121="UNMATCHED","Unmatched","Matched")</f>
        <v>Matched</v>
      </c>
      <c r="R121" s="4" t="str">
        <f aca="false">IF(OR(E121="No",G121="No",I121="No",L121="YES",Q121="Unmatched"),"NEEDS REVIEW","OK")</f>
        <v>OK</v>
      </c>
    </row>
    <row r="122" customFormat="false" ht="15" hidden="false" customHeight="false" outlineLevel="0" collapsed="false">
      <c r="A122" s="4" t="str">
        <f aca="false">Orders_Raw!A122</f>
        <v>ORD00252</v>
      </c>
      <c r="B122" s="4" t="str">
        <f aca="false">TRIM(UPPER(Orders_Raw!B122))</f>
        <v>CUST0005</v>
      </c>
      <c r="C122" s="4" t="str">
        <f aca="false">PROPER(TRIM(Orders_Raw!C122))</f>
        <v>Tunde Nnamdi</v>
      </c>
      <c r="D122" s="6" t="n">
        <f aca="false">IFERROR(DATEVALUE(Orders_Raw!D122),"")</f>
        <v>46222</v>
      </c>
      <c r="E122" s="4" t="str">
        <f aca="false">IF(D122="","No","Yes")</f>
        <v>Yes</v>
      </c>
      <c r="F122" s="4" t="n">
        <f aca="false">IFERROR(VALUE(SUBSTITUTE(SUBSTITUTE(SUBSTITUTE(Orders_Raw!G122,"$",""),"NGN",""),",","")),"")</f>
        <v>285.8</v>
      </c>
      <c r="G122" s="4" t="str">
        <f aca="false">IF(F122="","No","Yes")</f>
        <v>Yes</v>
      </c>
      <c r="H122" s="4" t="str">
        <f aca="false">Orders_Raw!F122</f>
        <v>1</v>
      </c>
      <c r="I122" s="4" t="str">
        <f aca="false">IF(H122="","No",IF(H122&lt;=0,"No","Yes"))</f>
        <v>Yes</v>
      </c>
      <c r="J122" s="4" t="str">
        <f aca="false">Orders_Raw!E122</f>
        <v>Phone</v>
      </c>
      <c r="K122" s="4" t="str">
        <f aca="false">Orders_Raw!H122</f>
        <v>2026-07-19 16:22</v>
      </c>
      <c r="L122" s="4" t="str">
        <f aca="false">IF(COUNTIF(Orders_Raw!$A$5:$A$539,A122)&gt;1,"YES","No")</f>
        <v>No</v>
      </c>
      <c r="M122" s="4" t="str">
        <f aca="false">IF(COUNTIFS($B$5:$B$539,B122,$D$5:$D$539,D122,$F$5:$F$539,F122)&gt;1,"YES","No")</f>
        <v>No</v>
      </c>
      <c r="N122" s="4" t="str">
        <f aca="false">IFERROR(INDEX(Customer_Master!$B$5:$B$64,MATCH(B122,Customer_Master!$A$5:$A$64,0)),"UNMATCHED")</f>
        <v>Tunde Nnamdi</v>
      </c>
      <c r="O122" s="4" t="str">
        <f aca="false">IFERROR(INDEX(Customer_Master!$C$5:$C$64,MATCH(B122,Customer_Master!$A$5:$A$64,0)),"UNMATCHED")</f>
        <v>New</v>
      </c>
      <c r="P122" s="4" t="str">
        <f aca="false">IFERROR(INDEX(Customer_Master!$D$5:$D$64,MATCH(B122,Customer_Master!$A$5:$A$64,0)),"UNMATCHED")</f>
        <v>Lagos</v>
      </c>
      <c r="Q122" s="4" t="str">
        <f aca="false">IF(N122="UNMATCHED","Unmatched","Matched")</f>
        <v>Matched</v>
      </c>
      <c r="R122" s="4" t="str">
        <f aca="false">IF(OR(E122="No",G122="No",I122="No",L122="YES",Q122="Unmatched"),"NEEDS REVIEW","OK")</f>
        <v>OK</v>
      </c>
    </row>
    <row r="123" customFormat="false" ht="15" hidden="false" customHeight="false" outlineLevel="0" collapsed="false">
      <c r="A123" s="4" t="str">
        <f aca="false">Orders_Raw!A123</f>
        <v>ORD00094</v>
      </c>
      <c r="B123" s="4" t="str">
        <f aca="false">TRIM(UPPER(Orders_Raw!B123))</f>
        <v>CUST0011</v>
      </c>
      <c r="C123" s="4" t="str">
        <f aca="false">PROPER(TRIM(Orders_Raw!C123))</f>
        <v>Musa Lawal</v>
      </c>
      <c r="D123" s="6" t="n">
        <f aca="false">IFERROR(DATEVALUE(Orders_Raw!D123),"")</f>
        <v>46221</v>
      </c>
      <c r="E123" s="4" t="str">
        <f aca="false">IF(D123="","No","Yes")</f>
        <v>Yes</v>
      </c>
      <c r="F123" s="4" t="n">
        <f aca="false">IFERROR(VALUE(SUBSTITUTE(SUBSTITUTE(SUBSTITUTE(Orders_Raw!G123,"$",""),"NGN",""),",","")),"")</f>
        <v>1496.62</v>
      </c>
      <c r="G123" s="4" t="str">
        <f aca="false">IF(F123="","No","Yes")</f>
        <v>Yes</v>
      </c>
      <c r="H123" s="4" t="str">
        <f aca="false">Orders_Raw!F123</f>
        <v>1</v>
      </c>
      <c r="I123" s="4" t="str">
        <f aca="false">IF(H123="","No",IF(H123&lt;=0,"No","Yes"))</f>
        <v>Yes</v>
      </c>
      <c r="J123" s="4" t="str">
        <f aca="false">Orders_Raw!E123</f>
        <v>Phone</v>
      </c>
      <c r="K123" s="4" t="str">
        <f aca="false">Orders_Raw!H123</f>
        <v>2026-07-18 12:28</v>
      </c>
      <c r="L123" s="4" t="str">
        <f aca="false">IF(COUNTIF(Orders_Raw!$A$5:$A$539,A123)&gt;1,"YES","No")</f>
        <v>No</v>
      </c>
      <c r="M123" s="4" t="str">
        <f aca="false">IF(COUNTIFS($B$5:$B$539,B123,$D$5:$D$539,D123,$F$5:$F$539,F123)&gt;1,"YES","No")</f>
        <v>No</v>
      </c>
      <c r="N123" s="4" t="str">
        <f aca="false">IFERROR(INDEX(Customer_Master!$B$5:$B$64,MATCH(B123,Customer_Master!$A$5:$A$64,0)),"UNMATCHED")</f>
        <v>Musa Lawal</v>
      </c>
      <c r="O123" s="4" t="str">
        <f aca="false">IFERROR(INDEX(Customer_Master!$C$5:$C$64,MATCH(B123,Customer_Master!$A$5:$A$64,0)),"UNMATCHED")</f>
        <v>At Risk</v>
      </c>
      <c r="P123" s="4" t="str">
        <f aca="false">IFERROR(INDEX(Customer_Master!$D$5:$D$64,MATCH(B123,Customer_Master!$A$5:$A$64,0)),"UNMATCHED")</f>
        <v>Jos</v>
      </c>
      <c r="Q123" s="4" t="str">
        <f aca="false">IF(N123="UNMATCHED","Unmatched","Matched")</f>
        <v>Matched</v>
      </c>
      <c r="R123" s="4" t="str">
        <f aca="false">IF(OR(E123="No",G123="No",I123="No",L123="YES",Q123="Unmatched"),"NEEDS REVIEW","OK")</f>
        <v>OK</v>
      </c>
    </row>
    <row r="124" customFormat="false" ht="15" hidden="false" customHeight="false" outlineLevel="0" collapsed="false">
      <c r="A124" s="4" t="str">
        <f aca="false">Orders_Raw!A124</f>
        <v>ORD00174</v>
      </c>
      <c r="B124" s="4" t="str">
        <f aca="false">TRIM(UPPER(Orders_Raw!B124))</f>
        <v>CUST0060</v>
      </c>
      <c r="C124" s="4" t="str">
        <f aca="false">PROPER(TRIM(Orders_Raw!C124))</f>
        <v>James Umeh</v>
      </c>
      <c r="D124" s="6" t="n">
        <f aca="false">IFERROR(DATEVALUE(Orders_Raw!D124),"")</f>
        <v>46266</v>
      </c>
      <c r="E124" s="4" t="str">
        <f aca="false">IF(D124="","No","Yes")</f>
        <v>Yes</v>
      </c>
      <c r="F124" s="4" t="n">
        <f aca="false">IFERROR(VALUE(SUBSTITUTE(SUBSTITUTE(SUBSTITUTE(Orders_Raw!G124,"$",""),"NGN",""),",","")),"")</f>
        <v>1543.08</v>
      </c>
      <c r="G124" s="4" t="str">
        <f aca="false">IF(F124="","No","Yes")</f>
        <v>Yes</v>
      </c>
      <c r="H124" s="4" t="str">
        <f aca="false">Orders_Raw!F124</f>
        <v>1</v>
      </c>
      <c r="I124" s="4" t="str">
        <f aca="false">IF(H124="","No",IF(H124&lt;=0,"No","Yes"))</f>
        <v>Yes</v>
      </c>
      <c r="J124" s="4" t="str">
        <f aca="false">Orders_Raw!E124</f>
        <v>Laptop</v>
      </c>
      <c r="K124" s="4" t="str">
        <f aca="false">Orders_Raw!H124</f>
        <v>2026-01-09 15:38</v>
      </c>
      <c r="L124" s="4" t="str">
        <f aca="false">IF(COUNTIF(Orders_Raw!$A$5:$A$539,A124)&gt;1,"YES","No")</f>
        <v>No</v>
      </c>
      <c r="M124" s="4" t="str">
        <f aca="false">IF(COUNTIFS($B$5:$B$539,B124,$D$5:$D$539,D124,$F$5:$F$539,F124)&gt;1,"YES","No")</f>
        <v>No</v>
      </c>
      <c r="N124" s="4" t="str">
        <f aca="false">IFERROR(INDEX(Customer_Master!$B$5:$B$64,MATCH(B124,Customer_Master!$A$5:$A$64,0)),"UNMATCHED")</f>
        <v>James Umeh</v>
      </c>
      <c r="O124" s="4" t="str">
        <f aca="false">IFERROR(INDEX(Customer_Master!$C$5:$C$64,MATCH(B124,Customer_Master!$A$5:$A$64,0)),"UNMATCHED")</f>
        <v>Champions</v>
      </c>
      <c r="P124" s="4" t="str">
        <f aca="false">IFERROR(INDEX(Customer_Master!$D$5:$D$64,MATCH(B124,Customer_Master!$A$5:$A$64,0)),"UNMATCHED")</f>
        <v>Kano</v>
      </c>
      <c r="Q124" s="4" t="str">
        <f aca="false">IF(N124="UNMATCHED","Unmatched","Matched")</f>
        <v>Matched</v>
      </c>
      <c r="R124" s="4" t="str">
        <f aca="false">IF(OR(E124="No",G124="No",I124="No",L124="YES",Q124="Unmatched"),"NEEDS REVIEW","OK")</f>
        <v>OK</v>
      </c>
    </row>
    <row r="125" customFormat="false" ht="15" hidden="false" customHeight="false" outlineLevel="0" collapsed="false">
      <c r="A125" s="4" t="str">
        <f aca="false">Orders_Raw!A125</f>
        <v>ORD00416</v>
      </c>
      <c r="B125" s="4" t="str">
        <f aca="false">TRIM(UPPER(Orders_Raw!B125))</f>
        <v>CUST0056</v>
      </c>
      <c r="C125" s="4" t="str">
        <f aca="false">PROPER(TRIM(Orders_Raw!C125))</f>
        <v>Tunde Yakubu</v>
      </c>
      <c r="D125" s="6" t="n">
        <f aca="false">IFERROR(DATEVALUE(Orders_Raw!D125),"")</f>
        <v>46158</v>
      </c>
      <c r="E125" s="4" t="str">
        <f aca="false">IF(D125="","No","Yes")</f>
        <v>Yes</v>
      </c>
      <c r="F125" s="4" t="n">
        <f aca="false">IFERROR(VALUE(SUBSTITUTE(SUBSTITUTE(SUBSTITUTE(Orders_Raw!G125,"$",""),"NGN",""),",","")),"")</f>
        <v>1131.72</v>
      </c>
      <c r="G125" s="4" t="str">
        <f aca="false">IF(F125="","No","Yes")</f>
        <v>Yes</v>
      </c>
      <c r="H125" s="4" t="str">
        <f aca="false">Orders_Raw!F125</f>
        <v>-3</v>
      </c>
      <c r="I125" s="4" t="str">
        <f aca="false">IF(H125="","No",IF(H125&lt;=0,"No","Yes"))</f>
        <v>Yes</v>
      </c>
      <c r="J125" s="4" t="str">
        <f aca="false">Orders_Raw!E125</f>
        <v>Tablet</v>
      </c>
      <c r="K125" s="4" t="str">
        <f aca="false">Orders_Raw!H125</f>
        <v>2026-05-16 14:46</v>
      </c>
      <c r="L125" s="4" t="str">
        <f aca="false">IF(COUNTIF(Orders_Raw!$A$5:$A$539,A125)&gt;1,"YES","No")</f>
        <v>No</v>
      </c>
      <c r="M125" s="4" t="str">
        <f aca="false">IF(COUNTIFS($B$5:$B$539,B125,$D$5:$D$539,D125,$F$5:$F$539,F125)&gt;1,"YES","No")</f>
        <v>No</v>
      </c>
      <c r="N125" s="4" t="str">
        <f aca="false">IFERROR(INDEX(Customer_Master!$B$5:$B$64,MATCH(B125,Customer_Master!$A$5:$A$64,0)),"UNMATCHED")</f>
        <v>Tunde Yakubu</v>
      </c>
      <c r="O125" s="4" t="str">
        <f aca="false">IFERROR(INDEX(Customer_Master!$C$5:$C$64,MATCH(B125,Customer_Master!$A$5:$A$64,0)),"UNMATCHED")</f>
        <v>Lost / Low-Value</v>
      </c>
      <c r="P125" s="4" t="str">
        <f aca="false">IFERROR(INDEX(Customer_Master!$D$5:$D$64,MATCH(B125,Customer_Master!$A$5:$A$64,0)),"UNMATCHED")</f>
        <v>Kano</v>
      </c>
      <c r="Q125" s="4" t="str">
        <f aca="false">IF(N125="UNMATCHED","Unmatched","Matched")</f>
        <v>Matched</v>
      </c>
      <c r="R125" s="4" t="str">
        <f aca="false">IF(OR(E125="No",G125="No",I125="No",L125="YES",Q125="Unmatched"),"NEEDS REVIEW","OK")</f>
        <v>OK</v>
      </c>
    </row>
    <row r="126" customFormat="false" ht="15" hidden="false" customHeight="false" outlineLevel="0" collapsed="false">
      <c r="A126" s="4" t="str">
        <f aca="false">Orders_Raw!A126</f>
        <v>ORD00019</v>
      </c>
      <c r="B126" s="4" t="str">
        <f aca="false">TRIM(UPPER(Orders_Raw!B126))</f>
        <v>CUST0005</v>
      </c>
      <c r="C126" s="4" t="str">
        <f aca="false">PROPER(TRIM(Orders_Raw!C126))</f>
        <v>Tunde Nnamdi</v>
      </c>
      <c r="D126" s="6" t="n">
        <f aca="false">IFERROR(DATEVALUE(Orders_Raw!D126),"")</f>
        <v>46182</v>
      </c>
      <c r="E126" s="4" t="str">
        <f aca="false">IF(D126="","No","Yes")</f>
        <v>Yes</v>
      </c>
      <c r="F126" s="4" t="n">
        <f aca="false">IFERROR(VALUE(SUBSTITUTE(SUBSTITUTE(SUBSTITUTE(Orders_Raw!G126,"$",""),"NGN",""),",","")),"")</f>
        <v>1663.52</v>
      </c>
      <c r="G126" s="4" t="str">
        <f aca="false">IF(F126="","No","Yes")</f>
        <v>Yes</v>
      </c>
      <c r="H126" s="4" t="str">
        <f aca="false">Orders_Raw!F126</f>
        <v>4</v>
      </c>
      <c r="I126" s="4" t="str">
        <f aca="false">IF(H126="","No",IF(H126&lt;=0,"No","Yes"))</f>
        <v>Yes</v>
      </c>
      <c r="J126" s="4" t="str">
        <f aca="false">Orders_Raw!E126</f>
        <v>Monitor</v>
      </c>
      <c r="K126" s="4" t="str">
        <f aca="false">Orders_Raw!H126</f>
        <v>2026-06-09 13:25</v>
      </c>
      <c r="L126" s="4" t="str">
        <f aca="false">IF(COUNTIF(Orders_Raw!$A$5:$A$539,A126)&gt;1,"YES","No")</f>
        <v>No</v>
      </c>
      <c r="M126" s="4" t="str">
        <f aca="false">IF(COUNTIFS($B$5:$B$539,B126,$D$5:$D$539,D126,$F$5:$F$539,F126)&gt;1,"YES","No")</f>
        <v>No</v>
      </c>
      <c r="N126" s="4" t="str">
        <f aca="false">IFERROR(INDEX(Customer_Master!$B$5:$B$64,MATCH(B126,Customer_Master!$A$5:$A$64,0)),"UNMATCHED")</f>
        <v>Tunde Nnamdi</v>
      </c>
      <c r="O126" s="4" t="str">
        <f aca="false">IFERROR(INDEX(Customer_Master!$C$5:$C$64,MATCH(B126,Customer_Master!$A$5:$A$64,0)),"UNMATCHED")</f>
        <v>New</v>
      </c>
      <c r="P126" s="4" t="str">
        <f aca="false">IFERROR(INDEX(Customer_Master!$D$5:$D$64,MATCH(B126,Customer_Master!$A$5:$A$64,0)),"UNMATCHED")</f>
        <v>Lagos</v>
      </c>
      <c r="Q126" s="4" t="str">
        <f aca="false">IF(N126="UNMATCHED","Unmatched","Matched")</f>
        <v>Matched</v>
      </c>
      <c r="R126" s="4" t="str">
        <f aca="false">IF(OR(E126="No",G126="No",I126="No",L126="YES",Q126="Unmatched"),"NEEDS REVIEW","OK")</f>
        <v>OK</v>
      </c>
    </row>
    <row r="127" customFormat="false" ht="15" hidden="false" customHeight="false" outlineLevel="0" collapsed="false">
      <c r="A127" s="4" t="str">
        <f aca="false">Orders_Raw!A127</f>
        <v>ORD00339</v>
      </c>
      <c r="B127" s="4" t="str">
        <f aca="false">TRIM(UPPER(Orders_Raw!B127))</f>
        <v>CUST0049</v>
      </c>
      <c r="C127" s="4" t="str">
        <f aca="false">PROPER(TRIM(Orders_Raw!C127))</f>
        <v>Bisi Ajayi</v>
      </c>
      <c r="D127" s="6" t="n">
        <f aca="false">IFERROR(DATEVALUE(Orders_Raw!D127),"")</f>
        <v>46052</v>
      </c>
      <c r="E127" s="4" t="str">
        <f aca="false">IF(D127="","No","Yes")</f>
        <v>Yes</v>
      </c>
      <c r="F127" s="4" t="n">
        <f aca="false">IFERROR(VALUE(SUBSTITUTE(SUBSTITUTE(SUBSTITUTE(Orders_Raw!G127,"$",""),"NGN",""),",","")),"")</f>
        <v>1122.48</v>
      </c>
      <c r="G127" s="4" t="str">
        <f aca="false">IF(F127="","No","Yes")</f>
        <v>Yes</v>
      </c>
      <c r="H127" s="4" t="str">
        <f aca="false">Orders_Raw!F127</f>
        <v>3</v>
      </c>
      <c r="I127" s="4" t="str">
        <f aca="false">IF(H127="","No",IF(H127&lt;=0,"No","Yes"))</f>
        <v>Yes</v>
      </c>
      <c r="J127" s="4" t="str">
        <f aca="false">Orders_Raw!E127</f>
        <v>Keyboard</v>
      </c>
      <c r="K127" s="4" t="str">
        <f aca="false">Orders_Raw!H127</f>
        <v>2026-01-30 14:58</v>
      </c>
      <c r="L127" s="4" t="str">
        <f aca="false">IF(COUNTIF(Orders_Raw!$A$5:$A$539,A127)&gt;1,"YES","No")</f>
        <v>No</v>
      </c>
      <c r="M127" s="4" t="str">
        <f aca="false">IF(COUNTIFS($B$5:$B$539,B127,$D$5:$D$539,D127,$F$5:$F$539,F127)&gt;1,"YES","No")</f>
        <v>No</v>
      </c>
      <c r="N127" s="4" t="str">
        <f aca="false">IFERROR(INDEX(Customer_Master!$B$5:$B$64,MATCH(B127,Customer_Master!$A$5:$A$64,0)),"UNMATCHED")</f>
        <v>Bisi Ajayi</v>
      </c>
      <c r="O127" s="4" t="str">
        <f aca="false">IFERROR(INDEX(Customer_Master!$C$5:$C$64,MATCH(B127,Customer_Master!$A$5:$A$64,0)),"UNMATCHED")</f>
        <v>Loyal</v>
      </c>
      <c r="P127" s="4" t="str">
        <f aca="false">IFERROR(INDEX(Customer_Master!$D$5:$D$64,MATCH(B127,Customer_Master!$A$5:$A$64,0)),"UNMATCHED")</f>
        <v>Abuja</v>
      </c>
      <c r="Q127" s="4" t="str">
        <f aca="false">IF(N127="UNMATCHED","Unmatched","Matched")</f>
        <v>Matched</v>
      </c>
      <c r="R127" s="4" t="str">
        <f aca="false">IF(OR(E127="No",G127="No",I127="No",L127="YES",Q127="Unmatched"),"NEEDS REVIEW","OK")</f>
        <v>OK</v>
      </c>
    </row>
    <row r="128" customFormat="false" ht="15" hidden="false" customHeight="false" outlineLevel="0" collapsed="false">
      <c r="A128" s="4" t="str">
        <f aca="false">Orders_Raw!A128</f>
        <v>ORD00508</v>
      </c>
      <c r="B128" s="4" t="str">
        <f aca="false">TRIM(UPPER(Orders_Raw!B128))</f>
        <v>CUST0043</v>
      </c>
      <c r="C128" s="4" t="str">
        <f aca="false">PROPER(TRIM(Orders_Raw!C128))</f>
        <v>Grace Ajayi</v>
      </c>
      <c r="D128" s="6" t="str">
        <f aca="false">IFERROR(DATEVALUE(Orders_Raw!D128),"")</f>
        <v/>
      </c>
      <c r="E128" s="4" t="str">
        <f aca="false">IF(D128="","No","Yes")</f>
        <v>No</v>
      </c>
      <c r="F128" s="4" t="n">
        <f aca="false">IFERROR(VALUE(SUBSTITUTE(SUBSTITUTE(SUBSTITUTE(Orders_Raw!G128,"$",""),"NGN",""),",","")),"")</f>
        <v>1743.7</v>
      </c>
      <c r="G128" s="4" t="str">
        <f aca="false">IF(F128="","No","Yes")</f>
        <v>Yes</v>
      </c>
      <c r="H128" s="4" t="str">
        <f aca="false">Orders_Raw!F128</f>
        <v>2</v>
      </c>
      <c r="I128" s="4" t="str">
        <f aca="false">IF(H128="","No",IF(H128&lt;=0,"No","Yes"))</f>
        <v>Yes</v>
      </c>
      <c r="J128" s="4" t="str">
        <f aca="false">Orders_Raw!E128</f>
        <v>Printer</v>
      </c>
      <c r="K128" s="4" t="str">
        <f aca="false">Orders_Raw!H128</f>
        <v>2026-02-17 12:49</v>
      </c>
      <c r="L128" s="4" t="str">
        <f aca="false">IF(COUNTIF(Orders_Raw!$A$5:$A$539,A128)&gt;1,"YES","No")</f>
        <v>No</v>
      </c>
      <c r="M128" s="4" t="str">
        <f aca="false">IF(COUNTIFS($B$5:$B$539,B128,$D$5:$D$539,D128,$F$5:$F$539,F128)&gt;1,"YES","No")</f>
        <v>No</v>
      </c>
      <c r="N128" s="4" t="str">
        <f aca="false">IFERROR(INDEX(Customer_Master!$B$5:$B$64,MATCH(B128,Customer_Master!$A$5:$A$64,0)),"UNMATCHED")</f>
        <v>Grace Ajayi</v>
      </c>
      <c r="O128" s="4" t="str">
        <f aca="false">IFERROR(INDEX(Customer_Master!$C$5:$C$64,MATCH(B128,Customer_Master!$A$5:$A$64,0)),"UNMATCHED")</f>
        <v>New</v>
      </c>
      <c r="P128" s="4" t="str">
        <f aca="false">IFERROR(INDEX(Customer_Master!$D$5:$D$64,MATCH(B128,Customer_Master!$A$5:$A$64,0)),"UNMATCHED")</f>
        <v>Abuja</v>
      </c>
      <c r="Q128" s="4" t="str">
        <f aca="false">IF(N128="UNMATCHED","Unmatched","Matched")</f>
        <v>Matched</v>
      </c>
      <c r="R128" s="4" t="str">
        <f aca="false">IF(OR(E128="No",G128="No",I128="No",L128="YES",Q128="Unmatched"),"NEEDS REVIEW","OK")</f>
        <v>NEEDS REVIEW</v>
      </c>
    </row>
    <row r="129" customFormat="false" ht="15" hidden="false" customHeight="false" outlineLevel="0" collapsed="false">
      <c r="A129" s="4" t="str">
        <f aca="false">Orders_Raw!A129</f>
        <v>ORD00097</v>
      </c>
      <c r="B129" s="4" t="str">
        <f aca="false">TRIM(UPPER(Orders_Raw!B129))</f>
        <v>CUST0008</v>
      </c>
      <c r="C129" s="4" t="str">
        <f aca="false">PROPER(TRIM(Orders_Raw!C129))</f>
        <v>Victor Duru</v>
      </c>
      <c r="D129" s="6" t="n">
        <f aca="false">IFERROR(DATEVALUE(Orders_Raw!D129),"")</f>
        <v>46083</v>
      </c>
      <c r="E129" s="4" t="str">
        <f aca="false">IF(D129="","No","Yes")</f>
        <v>Yes</v>
      </c>
      <c r="F129" s="4" t="n">
        <f aca="false">IFERROR(VALUE(SUBSTITUTE(SUBSTITUTE(SUBSTITUTE(Orders_Raw!G129,"$",""),"NGN",""),",","")),"")</f>
        <v>1338.47</v>
      </c>
      <c r="G129" s="4" t="str">
        <f aca="false">IF(F129="","No","Yes")</f>
        <v>Yes</v>
      </c>
      <c r="H129" s="4" t="str">
        <f aca="false">Orders_Raw!F129</f>
        <v>3</v>
      </c>
      <c r="I129" s="4" t="str">
        <f aca="false">IF(H129="","No",IF(H129&lt;=0,"No","Yes"))</f>
        <v>Yes</v>
      </c>
      <c r="J129" s="4" t="str">
        <f aca="false">Orders_Raw!E129</f>
        <v>Keyboard</v>
      </c>
      <c r="K129" s="4" t="str">
        <f aca="false">Orders_Raw!H129</f>
        <v>2026-02-03 09:25</v>
      </c>
      <c r="L129" s="4" t="str">
        <f aca="false">IF(COUNTIF(Orders_Raw!$A$5:$A$539,A129)&gt;1,"YES","No")</f>
        <v>No</v>
      </c>
      <c r="M129" s="4" t="str">
        <f aca="false">IF(COUNTIFS($B$5:$B$539,B129,$D$5:$D$539,D129,$F$5:$F$539,F129)&gt;1,"YES","No")</f>
        <v>No</v>
      </c>
      <c r="N129" s="4" t="str">
        <f aca="false">IFERROR(INDEX(Customer_Master!$B$5:$B$64,MATCH(B129,Customer_Master!$A$5:$A$64,0)),"UNMATCHED")</f>
        <v>Victor Duru</v>
      </c>
      <c r="O129" s="4" t="str">
        <f aca="false">IFERROR(INDEX(Customer_Master!$C$5:$C$64,MATCH(B129,Customer_Master!$A$5:$A$64,0)),"UNMATCHED")</f>
        <v>Loyal</v>
      </c>
      <c r="P129" s="4" t="str">
        <f aca="false">IFERROR(INDEX(Customer_Master!$D$5:$D$64,MATCH(B129,Customer_Master!$A$5:$A$64,0)),"UNMATCHED")</f>
        <v>Enugu</v>
      </c>
      <c r="Q129" s="4" t="str">
        <f aca="false">IF(N129="UNMATCHED","Unmatched","Matched")</f>
        <v>Matched</v>
      </c>
      <c r="R129" s="4" t="str">
        <f aca="false">IF(OR(E129="No",G129="No",I129="No",L129="YES",Q129="Unmatched"),"NEEDS REVIEW","OK")</f>
        <v>OK</v>
      </c>
    </row>
    <row r="130" customFormat="false" ht="15" hidden="false" customHeight="false" outlineLevel="0" collapsed="false">
      <c r="A130" s="4" t="str">
        <f aca="false">Orders_Raw!A130</f>
        <v>ORD00436</v>
      </c>
      <c r="B130" s="4" t="str">
        <f aca="false">TRIM(UPPER(Orders_Raw!B130))</f>
        <v>CUST0040</v>
      </c>
      <c r="C130" s="4" t="str">
        <f aca="false">PROPER(TRIM(Orders_Raw!C130))</f>
        <v>Yusuf Chukwu</v>
      </c>
      <c r="D130" s="6" t="n">
        <f aca="false">IFERROR(DATEVALUE(Orders_Raw!D130),"")</f>
        <v>46182</v>
      </c>
      <c r="E130" s="4" t="str">
        <f aca="false">IF(D130="","No","Yes")</f>
        <v>Yes</v>
      </c>
      <c r="F130" s="4" t="n">
        <f aca="false">IFERROR(VALUE(SUBSTITUTE(SUBSTITUTE(SUBSTITUTE(Orders_Raw!G130,"$",""),"NGN",""),",","")),"")</f>
        <v>1109.55</v>
      </c>
      <c r="G130" s="4" t="str">
        <f aca="false">IF(F130="","No","Yes")</f>
        <v>Yes</v>
      </c>
      <c r="H130" s="4" t="str">
        <f aca="false">Orders_Raw!F130</f>
        <v>1</v>
      </c>
      <c r="I130" s="4" t="str">
        <f aca="false">IF(H130="","No",IF(H130&lt;=0,"No","Yes"))</f>
        <v>Yes</v>
      </c>
      <c r="J130" s="4" t="str">
        <f aca="false">Orders_Raw!E130</f>
        <v>Phone</v>
      </c>
      <c r="K130" s="4" t="str">
        <f aca="false">Orders_Raw!H130</f>
        <v>2026-06-09 09:47</v>
      </c>
      <c r="L130" s="4" t="str">
        <f aca="false">IF(COUNTIF(Orders_Raw!$A$5:$A$539,A130)&gt;1,"YES","No")</f>
        <v>No</v>
      </c>
      <c r="M130" s="4" t="str">
        <f aca="false">IF(COUNTIFS($B$5:$B$539,B130,$D$5:$D$539,D130,$F$5:$F$539,F130)&gt;1,"YES","No")</f>
        <v>No</v>
      </c>
      <c r="N130" s="4" t="str">
        <f aca="false">IFERROR(INDEX(Customer_Master!$B$5:$B$64,MATCH(B130,Customer_Master!$A$5:$A$64,0)),"UNMATCHED")</f>
        <v>Yusuf Chukwu</v>
      </c>
      <c r="O130" s="4" t="str">
        <f aca="false">IFERROR(INDEX(Customer_Master!$C$5:$C$64,MATCH(B130,Customer_Master!$A$5:$A$64,0)),"UNMATCHED")</f>
        <v>Loyal</v>
      </c>
      <c r="P130" s="4" t="str">
        <f aca="false">IFERROR(INDEX(Customer_Master!$D$5:$D$64,MATCH(B130,Customer_Master!$A$5:$A$64,0)),"UNMATCHED")</f>
        <v>Lagos</v>
      </c>
      <c r="Q130" s="4" t="str">
        <f aca="false">IF(N130="UNMATCHED","Unmatched","Matched")</f>
        <v>Matched</v>
      </c>
      <c r="R130" s="4" t="str">
        <f aca="false">IF(OR(E130="No",G130="No",I130="No",L130="YES",Q130="Unmatched"),"NEEDS REVIEW","OK")</f>
        <v>OK</v>
      </c>
    </row>
    <row r="131" customFormat="false" ht="15" hidden="false" customHeight="false" outlineLevel="0" collapsed="false">
      <c r="A131" s="4" t="str">
        <f aca="false">Orders_Raw!A131</f>
        <v>ORD00195</v>
      </c>
      <c r="B131" s="4" t="str">
        <f aca="false">TRIM(UPPER(Orders_Raw!B131))</f>
        <v>CUST0050</v>
      </c>
      <c r="C131" s="4" t="str">
        <f aca="false">PROPER(TRIM(Orders_Raw!C131))</f>
        <v>Ngozi Duru</v>
      </c>
      <c r="D131" s="6" t="str">
        <f aca="false">IFERROR(DATEVALUE(Orders_Raw!D131),"")</f>
        <v/>
      </c>
      <c r="E131" s="4" t="str">
        <f aca="false">IF(D131="","No","Yes")</f>
        <v>No</v>
      </c>
      <c r="F131" s="4" t="n">
        <f aca="false">IFERROR(VALUE(SUBSTITUTE(SUBSTITUTE(SUBSTITUTE(Orders_Raw!G131,"$",""),"NGN",""),",","")),"")</f>
        <v>1234.15</v>
      </c>
      <c r="G131" s="4" t="str">
        <f aca="false">IF(F131="","No","Yes")</f>
        <v>Yes</v>
      </c>
      <c r="H131" s="4" t="str">
        <f aca="false">Orders_Raw!F131</f>
        <v>3</v>
      </c>
      <c r="I131" s="4" t="str">
        <f aca="false">IF(H131="","No",IF(H131&lt;=0,"No","Yes"))</f>
        <v>Yes</v>
      </c>
      <c r="J131" s="4" t="str">
        <f aca="false">Orders_Raw!E131</f>
        <v>Speaker</v>
      </c>
      <c r="K131" s="4" t="str">
        <f aca="false">Orders_Raw!H131</f>
        <v>2026-07-20 18:24</v>
      </c>
      <c r="L131" s="4" t="str">
        <f aca="false">IF(COUNTIF(Orders_Raw!$A$5:$A$539,A131)&gt;1,"YES","No")</f>
        <v>No</v>
      </c>
      <c r="M131" s="4" t="str">
        <f aca="false">IF(COUNTIFS($B$5:$B$539,B131,$D$5:$D$539,D131,$F$5:$F$539,F131)&gt;1,"YES","No")</f>
        <v>No</v>
      </c>
      <c r="N131" s="4" t="str">
        <f aca="false">IFERROR(INDEX(Customer_Master!$B$5:$B$64,MATCH(B131,Customer_Master!$A$5:$A$64,0)),"UNMATCHED")</f>
        <v>Ngozi Duru</v>
      </c>
      <c r="O131" s="4" t="str">
        <f aca="false">IFERROR(INDEX(Customer_Master!$C$5:$C$64,MATCH(B131,Customer_Master!$A$5:$A$64,0)),"UNMATCHED")</f>
        <v>New</v>
      </c>
      <c r="P131" s="4" t="str">
        <f aca="false">IFERROR(INDEX(Customer_Master!$D$5:$D$64,MATCH(B131,Customer_Master!$A$5:$A$64,0)),"UNMATCHED")</f>
        <v>Kano</v>
      </c>
      <c r="Q131" s="4" t="str">
        <f aca="false">IF(N131="UNMATCHED","Unmatched","Matched")</f>
        <v>Matched</v>
      </c>
      <c r="R131" s="4" t="str">
        <f aca="false">IF(OR(E131="No",G131="No",I131="No",L131="YES",Q131="Unmatched"),"NEEDS REVIEW","OK")</f>
        <v>NEEDS REVIEW</v>
      </c>
    </row>
    <row r="132" customFormat="false" ht="15" hidden="false" customHeight="false" outlineLevel="0" collapsed="false">
      <c r="A132" s="4" t="str">
        <f aca="false">Orders_Raw!A132</f>
        <v>ORD00330</v>
      </c>
      <c r="B132" s="4" t="str">
        <f aca="false">TRIM(UPPER(Orders_Raw!B132))</f>
        <v>CUST0055</v>
      </c>
      <c r="C132" s="4" t="str">
        <f aca="false">PROPER(TRIM(Orders_Raw!C132))</f>
        <v>Amaka Adamu</v>
      </c>
      <c r="D132" s="6" t="str">
        <f aca="false">IFERROR(DATEVALUE(Orders_Raw!D132),"")</f>
        <v/>
      </c>
      <c r="E132" s="4" t="str">
        <f aca="false">IF(D132="","No","Yes")</f>
        <v>No</v>
      </c>
      <c r="F132" s="4" t="n">
        <f aca="false">IFERROR(VALUE(SUBSTITUTE(SUBSTITUTE(SUBSTITUTE(Orders_Raw!G132,"$",""),"NGN",""),",","")),"")</f>
        <v>77.8</v>
      </c>
      <c r="G132" s="4" t="str">
        <f aca="false">IF(F132="","No","Yes")</f>
        <v>Yes</v>
      </c>
      <c r="H132" s="4" t="str">
        <f aca="false">Orders_Raw!F132</f>
        <v>1</v>
      </c>
      <c r="I132" s="4" t="str">
        <f aca="false">IF(H132="","No",IF(H132&lt;=0,"No","Yes"))</f>
        <v>Yes</v>
      </c>
      <c r="J132" s="4" t="str">
        <f aca="false">Orders_Raw!E132</f>
        <v>Headphones</v>
      </c>
      <c r="K132" s="4" t="str">
        <f aca="false">Orders_Raw!H132</f>
        <v>2026-05-14 12:43</v>
      </c>
      <c r="L132" s="4" t="str">
        <f aca="false">IF(COUNTIF(Orders_Raw!$A$5:$A$539,A132)&gt;1,"YES","No")</f>
        <v>YES</v>
      </c>
      <c r="M132" s="4" t="str">
        <f aca="false">IF(COUNTIFS($B$5:$B$539,B132,$D$5:$D$539,D132,$F$5:$F$539,F132)&gt;1,"YES","No")</f>
        <v>YES</v>
      </c>
      <c r="N132" s="4" t="str">
        <f aca="false">IFERROR(INDEX(Customer_Master!$B$5:$B$64,MATCH(B132,Customer_Master!$A$5:$A$64,0)),"UNMATCHED")</f>
        <v>Amaka Adamu</v>
      </c>
      <c r="O132" s="4" t="str">
        <f aca="false">IFERROR(INDEX(Customer_Master!$C$5:$C$64,MATCH(B132,Customer_Master!$A$5:$A$64,0)),"UNMATCHED")</f>
        <v>Loyal</v>
      </c>
      <c r="P132" s="4" t="str">
        <f aca="false">IFERROR(INDEX(Customer_Master!$D$5:$D$64,MATCH(B132,Customer_Master!$A$5:$A$64,0)),"UNMATCHED")</f>
        <v>Kaduna</v>
      </c>
      <c r="Q132" s="4" t="str">
        <f aca="false">IF(N132="UNMATCHED","Unmatched","Matched")</f>
        <v>Matched</v>
      </c>
      <c r="R132" s="4" t="str">
        <f aca="false">IF(OR(E132="No",G132="No",I132="No",L132="YES",Q132="Unmatched"),"NEEDS REVIEW","OK")</f>
        <v>NEEDS REVIEW</v>
      </c>
    </row>
    <row r="133" customFormat="false" ht="15" hidden="false" customHeight="false" outlineLevel="0" collapsed="false">
      <c r="A133" s="4" t="str">
        <f aca="false">Orders_Raw!A133</f>
        <v>ORD00216</v>
      </c>
      <c r="B133" s="4" t="str">
        <f aca="false">TRIM(UPPER(Orders_Raw!B133))</f>
        <v>CUST0010</v>
      </c>
      <c r="C133" s="4" t="str">
        <f aca="false">PROPER(TRIM(Orders_Raw!C133))</f>
        <v>Esther Umeh</v>
      </c>
      <c r="D133" s="6" t="n">
        <f aca="false">IFERROR(DATEVALUE(Orders_Raw!D133),"")</f>
        <v>46175</v>
      </c>
      <c r="E133" s="4" t="str">
        <f aca="false">IF(D133="","No","Yes")</f>
        <v>Yes</v>
      </c>
      <c r="F133" s="4" t="n">
        <f aca="false">IFERROR(VALUE(SUBSTITUTE(SUBSTITUTE(SUBSTITUTE(Orders_Raw!G133,"$",""),"NGN",""),",","")),"")</f>
        <v>1443.39</v>
      </c>
      <c r="G133" s="4" t="str">
        <f aca="false">IF(F133="","No","Yes")</f>
        <v>Yes</v>
      </c>
      <c r="H133" s="4" t="str">
        <f aca="false">Orders_Raw!F133</f>
        <v>1</v>
      </c>
      <c r="I133" s="4" t="str">
        <f aca="false">IF(H133="","No",IF(H133&lt;=0,"No","Yes"))</f>
        <v>Yes</v>
      </c>
      <c r="J133" s="4" t="str">
        <f aca="false">Orders_Raw!E133</f>
        <v>Headphones</v>
      </c>
      <c r="K133" s="4" t="str">
        <f aca="false">Orders_Raw!H133</f>
        <v>2026-06-02 16:10</v>
      </c>
      <c r="L133" s="4" t="str">
        <f aca="false">IF(COUNTIF(Orders_Raw!$A$5:$A$539,A133)&gt;1,"YES","No")</f>
        <v>No</v>
      </c>
      <c r="M133" s="4" t="str">
        <f aca="false">IF(COUNTIFS($B$5:$B$539,B133,$D$5:$D$539,D133,$F$5:$F$539,F133)&gt;1,"YES","No")</f>
        <v>No</v>
      </c>
      <c r="N133" s="4" t="str">
        <f aca="false">IFERROR(INDEX(Customer_Master!$B$5:$B$64,MATCH(B133,Customer_Master!$A$5:$A$64,0)),"UNMATCHED")</f>
        <v>Esther Umeh</v>
      </c>
      <c r="O133" s="4" t="str">
        <f aca="false">IFERROR(INDEX(Customer_Master!$C$5:$C$64,MATCH(B133,Customer_Master!$A$5:$A$64,0)),"UNMATCHED")</f>
        <v>Champions</v>
      </c>
      <c r="P133" s="4" t="str">
        <f aca="false">IFERROR(INDEX(Customer_Master!$D$5:$D$64,MATCH(B133,Customer_Master!$A$5:$A$64,0)),"UNMATCHED")</f>
        <v>Abuja</v>
      </c>
      <c r="Q133" s="4" t="str">
        <f aca="false">IF(N133="UNMATCHED","Unmatched","Matched")</f>
        <v>Matched</v>
      </c>
      <c r="R133" s="4" t="str">
        <f aca="false">IF(OR(E133="No",G133="No",I133="No",L133="YES",Q133="Unmatched"),"NEEDS REVIEW","OK")</f>
        <v>OK</v>
      </c>
    </row>
    <row r="134" customFormat="false" ht="15" hidden="false" customHeight="false" outlineLevel="0" collapsed="false">
      <c r="A134" s="4" t="str">
        <f aca="false">Orders_Raw!A134</f>
        <v>ORD00221</v>
      </c>
      <c r="B134" s="4" t="str">
        <f aca="false">TRIM(UPPER(Orders_Raw!B134))</f>
        <v>CUST0003</v>
      </c>
      <c r="C134" s="4" t="str">
        <f aca="false">PROPER(TRIM(Orders_Raw!C134))</f>
        <v>Chidi Adamu</v>
      </c>
      <c r="D134" s="6" t="str">
        <f aca="false">IFERROR(DATEVALUE(Orders_Raw!D134),"")</f>
        <v/>
      </c>
      <c r="E134" s="4" t="str">
        <f aca="false">IF(D134="","No","Yes")</f>
        <v>No</v>
      </c>
      <c r="F134" s="4" t="n">
        <f aca="false">IFERROR(VALUE(SUBSTITUTE(SUBSTITUTE(SUBSTITUTE(Orders_Raw!G134,"$",""),"NGN",""),",","")),"")</f>
        <v>2165.25</v>
      </c>
      <c r="G134" s="4" t="str">
        <f aca="false">IF(F134="","No","Yes")</f>
        <v>Yes</v>
      </c>
      <c r="H134" s="4" t="str">
        <f aca="false">Orders_Raw!F134</f>
        <v>5</v>
      </c>
      <c r="I134" s="4" t="str">
        <f aca="false">IF(H134="","No",IF(H134&lt;=0,"No","Yes"))</f>
        <v>Yes</v>
      </c>
      <c r="J134" s="4" t="str">
        <f aca="false">Orders_Raw!E134</f>
        <v>Speaker</v>
      </c>
      <c r="K134" s="4" t="str">
        <f aca="false">Orders_Raw!H134</f>
        <v>2026-01-23 13:55</v>
      </c>
      <c r="L134" s="4" t="str">
        <f aca="false">IF(COUNTIF(Orders_Raw!$A$5:$A$539,A134)&gt;1,"YES","No")</f>
        <v>No</v>
      </c>
      <c r="M134" s="4" t="str">
        <f aca="false">IF(COUNTIFS($B$5:$B$539,B134,$D$5:$D$539,D134,$F$5:$F$539,F134)&gt;1,"YES","No")</f>
        <v>No</v>
      </c>
      <c r="N134" s="4" t="str">
        <f aca="false">IFERROR(INDEX(Customer_Master!$B$5:$B$64,MATCH(B134,Customer_Master!$A$5:$A$64,0)),"UNMATCHED")</f>
        <v>Chidi Adamu</v>
      </c>
      <c r="O134" s="4" t="str">
        <f aca="false">IFERROR(INDEX(Customer_Master!$C$5:$C$64,MATCH(B134,Customer_Master!$A$5:$A$64,0)),"UNMATCHED")</f>
        <v>Champions</v>
      </c>
      <c r="P134" s="4" t="str">
        <f aca="false">IFERROR(INDEX(Customer_Master!$D$5:$D$64,MATCH(B134,Customer_Master!$A$5:$A$64,0)),"UNMATCHED")</f>
        <v>Enugu</v>
      </c>
      <c r="Q134" s="4" t="str">
        <f aca="false">IF(N134="UNMATCHED","Unmatched","Matched")</f>
        <v>Matched</v>
      </c>
      <c r="R134" s="4" t="str">
        <f aca="false">IF(OR(E134="No",G134="No",I134="No",L134="YES",Q134="Unmatched"),"NEEDS REVIEW","OK")</f>
        <v>NEEDS REVIEW</v>
      </c>
    </row>
    <row r="135" customFormat="false" ht="15" hidden="false" customHeight="false" outlineLevel="0" collapsed="false">
      <c r="A135" s="4" t="str">
        <f aca="false">Orders_Raw!A135</f>
        <v>ORD00085</v>
      </c>
      <c r="B135" s="4" t="str">
        <f aca="false">TRIM(UPPER(Orders_Raw!B135))</f>
        <v>CUST0051</v>
      </c>
      <c r="C135" s="4" t="str">
        <f aca="false">PROPER(TRIM(Orders_Raw!C135))</f>
        <v>Ahmed Ajayi</v>
      </c>
      <c r="D135" s="6" t="str">
        <f aca="false">IFERROR(DATEVALUE(Orders_Raw!D135),"")</f>
        <v/>
      </c>
      <c r="E135" s="4" t="str">
        <f aca="false">IF(D135="","No","Yes")</f>
        <v>No</v>
      </c>
      <c r="F135" s="4" t="n">
        <f aca="false">IFERROR(VALUE(SUBSTITUTE(SUBSTITUTE(SUBSTITUTE(Orders_Raw!G135,"$",""),"NGN",""),",","")),"")</f>
        <v>1613.7</v>
      </c>
      <c r="G135" s="4" t="str">
        <f aca="false">IF(F135="","No","Yes")</f>
        <v>Yes</v>
      </c>
      <c r="H135" s="4" t="str">
        <f aca="false">Orders_Raw!F135</f>
        <v>1</v>
      </c>
      <c r="I135" s="4" t="str">
        <f aca="false">IF(H135="","No",IF(H135&lt;=0,"No","Yes"))</f>
        <v>Yes</v>
      </c>
      <c r="J135" s="4" t="str">
        <f aca="false">Orders_Raw!E135</f>
        <v>Monitor</v>
      </c>
      <c r="K135" s="4" t="str">
        <f aca="false">Orders_Raw!H135</f>
        <v>2026-03-19 18:06</v>
      </c>
      <c r="L135" s="4" t="str">
        <f aca="false">IF(COUNTIF(Orders_Raw!$A$5:$A$539,A135)&gt;1,"YES","No")</f>
        <v>No</v>
      </c>
      <c r="M135" s="4" t="str">
        <f aca="false">IF(COUNTIFS($B$5:$B$539,B135,$D$5:$D$539,D135,$F$5:$F$539,F135)&gt;1,"YES","No")</f>
        <v>No</v>
      </c>
      <c r="N135" s="4" t="str">
        <f aca="false">IFERROR(INDEX(Customer_Master!$B$5:$B$64,MATCH(B135,Customer_Master!$A$5:$A$64,0)),"UNMATCHED")</f>
        <v>Ahmed Ajayi</v>
      </c>
      <c r="O135" s="4" t="str">
        <f aca="false">IFERROR(INDEX(Customer_Master!$C$5:$C$64,MATCH(B135,Customer_Master!$A$5:$A$64,0)),"UNMATCHED")</f>
        <v>Champions</v>
      </c>
      <c r="P135" s="4" t="str">
        <f aca="false">IFERROR(INDEX(Customer_Master!$D$5:$D$64,MATCH(B135,Customer_Master!$A$5:$A$64,0)),"UNMATCHED")</f>
        <v>Abuja</v>
      </c>
      <c r="Q135" s="4" t="str">
        <f aca="false">IF(N135="UNMATCHED","Unmatched","Matched")</f>
        <v>Matched</v>
      </c>
      <c r="R135" s="4" t="str">
        <f aca="false">IF(OR(E135="No",G135="No",I135="No",L135="YES",Q135="Unmatched"),"NEEDS REVIEW","OK")</f>
        <v>NEEDS REVIEW</v>
      </c>
    </row>
    <row r="136" customFormat="false" ht="15" hidden="false" customHeight="false" outlineLevel="0" collapsed="false">
      <c r="A136" s="4" t="str">
        <f aca="false">Orders_Raw!A136</f>
        <v>ORD00519</v>
      </c>
      <c r="B136" s="4" t="str">
        <f aca="false">TRIM(UPPER(Orders_Raw!B136))</f>
        <v>CUST0059</v>
      </c>
      <c r="C136" s="4" t="str">
        <f aca="false">PROPER(TRIM(Orders_Raw!C136))</f>
        <v>Chidi Lawal</v>
      </c>
      <c r="D136" s="6" t="n">
        <f aca="false">IFERROR(DATEVALUE(Orders_Raw!D136),"")</f>
        <v>46202</v>
      </c>
      <c r="E136" s="4" t="str">
        <f aca="false">IF(D136="","No","Yes")</f>
        <v>Yes</v>
      </c>
      <c r="F136" s="4" t="n">
        <f aca="false">IFERROR(VALUE(SUBSTITUTE(SUBSTITUTE(SUBSTITUTE(Orders_Raw!G136,"$",""),"NGN",""),",","")),"")</f>
        <v>50.7</v>
      </c>
      <c r="G136" s="4" t="str">
        <f aca="false">IF(F136="","No","Yes")</f>
        <v>Yes</v>
      </c>
      <c r="H136" s="4" t="str">
        <f aca="false">Orders_Raw!F136</f>
        <v>2</v>
      </c>
      <c r="I136" s="4" t="str">
        <f aca="false">IF(H136="","No",IF(H136&lt;=0,"No","Yes"))</f>
        <v>Yes</v>
      </c>
      <c r="J136" s="4" t="str">
        <f aca="false">Orders_Raw!E136</f>
        <v>Speaker</v>
      </c>
      <c r="K136" s="4" t="str">
        <f aca="false">Orders_Raw!H136</f>
        <v>2026-06-29 10:53</v>
      </c>
      <c r="L136" s="4" t="str">
        <f aca="false">IF(COUNTIF(Orders_Raw!$A$5:$A$539,A136)&gt;1,"YES","No")</f>
        <v>No</v>
      </c>
      <c r="M136" s="4" t="str">
        <f aca="false">IF(COUNTIFS($B$5:$B$539,B136,$D$5:$D$539,D136,$F$5:$F$539,F136)&gt;1,"YES","No")</f>
        <v>No</v>
      </c>
      <c r="N136" s="4" t="str">
        <f aca="false">IFERROR(INDEX(Customer_Master!$B$5:$B$64,MATCH(B136,Customer_Master!$A$5:$A$64,0)),"UNMATCHED")</f>
        <v>Chidi Lawal</v>
      </c>
      <c r="O136" s="4" t="str">
        <f aca="false">IFERROR(INDEX(Customer_Master!$C$5:$C$64,MATCH(B136,Customer_Master!$A$5:$A$64,0)),"UNMATCHED")</f>
        <v>Champions</v>
      </c>
      <c r="P136" s="4" t="str">
        <f aca="false">IFERROR(INDEX(Customer_Master!$D$5:$D$64,MATCH(B136,Customer_Master!$A$5:$A$64,0)),"UNMATCHED")</f>
        <v>Enugu</v>
      </c>
      <c r="Q136" s="4" t="str">
        <f aca="false">IF(N136="UNMATCHED","Unmatched","Matched")</f>
        <v>Matched</v>
      </c>
      <c r="R136" s="4" t="str">
        <f aca="false">IF(OR(E136="No",G136="No",I136="No",L136="YES",Q136="Unmatched"),"NEEDS REVIEW","OK")</f>
        <v>OK</v>
      </c>
    </row>
    <row r="137" customFormat="false" ht="15" hidden="false" customHeight="false" outlineLevel="0" collapsed="false">
      <c r="A137" s="4" t="str">
        <f aca="false">Orders_Raw!A137</f>
        <v>ORD00002</v>
      </c>
      <c r="B137" s="4" t="str">
        <f aca="false">TRIM(UPPER(Orders_Raw!B137))</f>
        <v>CUST0042</v>
      </c>
      <c r="C137" s="4" t="str">
        <f aca="false">PROPER(TRIM(Orders_Raw!C137))</f>
        <v>Bisi Chukwu</v>
      </c>
      <c r="D137" s="6" t="n">
        <f aca="false">IFERROR(DATEVALUE(Orders_Raw!D137),"")</f>
        <v>46046</v>
      </c>
      <c r="E137" s="4" t="str">
        <f aca="false">IF(D137="","No","Yes")</f>
        <v>Yes</v>
      </c>
      <c r="F137" s="4" t="n">
        <f aca="false">IFERROR(VALUE(SUBSTITUTE(SUBSTITUTE(SUBSTITUTE(Orders_Raw!G137,"$",""),"NGN",""),",","")),"")</f>
        <v>428.28</v>
      </c>
      <c r="G137" s="4" t="str">
        <f aca="false">IF(F137="","No","Yes")</f>
        <v>Yes</v>
      </c>
      <c r="H137" s="4" t="str">
        <f aca="false">Orders_Raw!F137</f>
        <v>2</v>
      </c>
      <c r="I137" s="4" t="str">
        <f aca="false">IF(H137="","No",IF(H137&lt;=0,"No","Yes"))</f>
        <v>Yes</v>
      </c>
      <c r="J137" s="4" t="str">
        <f aca="false">Orders_Raw!E137</f>
        <v>Laptop</v>
      </c>
      <c r="K137" s="4" t="str">
        <f aca="false">Orders_Raw!H137</f>
        <v>2026-01-24 10:24</v>
      </c>
      <c r="L137" s="4" t="str">
        <f aca="false">IF(COUNTIF(Orders_Raw!$A$5:$A$539,A137)&gt;1,"YES","No")</f>
        <v>No</v>
      </c>
      <c r="M137" s="4" t="str">
        <f aca="false">IF(COUNTIFS($B$5:$B$539,B137,$D$5:$D$539,D137,$F$5:$F$539,F137)&gt;1,"YES","No")</f>
        <v>No</v>
      </c>
      <c r="N137" s="4" t="str">
        <f aca="false">IFERROR(INDEX(Customer_Master!$B$5:$B$64,MATCH(B137,Customer_Master!$A$5:$A$64,0)),"UNMATCHED")</f>
        <v>Bisi Chukwu</v>
      </c>
      <c r="O137" s="4" t="str">
        <f aca="false">IFERROR(INDEX(Customer_Master!$C$5:$C$64,MATCH(B137,Customer_Master!$A$5:$A$64,0)),"UNMATCHED")</f>
        <v>At Risk</v>
      </c>
      <c r="P137" s="4" t="str">
        <f aca="false">IFERROR(INDEX(Customer_Master!$D$5:$D$64,MATCH(B137,Customer_Master!$A$5:$A$64,0)),"UNMATCHED")</f>
        <v>Kano</v>
      </c>
      <c r="Q137" s="4" t="str">
        <f aca="false">IF(N137="UNMATCHED","Unmatched","Matched")</f>
        <v>Matched</v>
      </c>
      <c r="R137" s="4" t="str">
        <f aca="false">IF(OR(E137="No",G137="No",I137="No",L137="YES",Q137="Unmatched"),"NEEDS REVIEW","OK")</f>
        <v>OK</v>
      </c>
    </row>
    <row r="138" customFormat="false" ht="15" hidden="false" customHeight="false" outlineLevel="0" collapsed="false">
      <c r="A138" s="4" t="str">
        <f aca="false">Orders_Raw!A138</f>
        <v>ORD00469</v>
      </c>
      <c r="B138" s="4" t="str">
        <f aca="false">TRIM(UPPER(Orders_Raw!B138))</f>
        <v>CUST0022</v>
      </c>
      <c r="C138" s="4" t="str">
        <f aca="false">PROPER(TRIM(Orders_Raw!C138))</f>
        <v>Musa Sani</v>
      </c>
      <c r="D138" s="6" t="n">
        <f aca="false">IFERROR(DATEVALUE(Orders_Raw!D138),"")</f>
        <v>46058</v>
      </c>
      <c r="E138" s="4" t="str">
        <f aca="false">IF(D138="","No","Yes")</f>
        <v>Yes</v>
      </c>
      <c r="F138" s="4" t="n">
        <f aca="false">IFERROR(VALUE(SUBSTITUTE(SUBSTITUTE(SUBSTITUTE(Orders_Raw!G138,"$",""),"NGN",""),",","")),"")</f>
        <v>1619.45</v>
      </c>
      <c r="G138" s="4" t="str">
        <f aca="false">IF(F138="","No","Yes")</f>
        <v>Yes</v>
      </c>
      <c r="H138" s="4" t="str">
        <f aca="false">Orders_Raw!F138</f>
        <v>1</v>
      </c>
      <c r="I138" s="4" t="str">
        <f aca="false">IF(H138="","No",IF(H138&lt;=0,"No","Yes"))</f>
        <v>Yes</v>
      </c>
      <c r="J138" s="4" t="str">
        <f aca="false">Orders_Raw!E138</f>
        <v>Tablet</v>
      </c>
      <c r="K138" s="4" t="str">
        <f aca="false">Orders_Raw!H138</f>
        <v>2026-05-02 13:29</v>
      </c>
      <c r="L138" s="4" t="str">
        <f aca="false">IF(COUNTIF(Orders_Raw!$A$5:$A$539,A138)&gt;1,"YES","No")</f>
        <v>No</v>
      </c>
      <c r="M138" s="4" t="str">
        <f aca="false">IF(COUNTIFS($B$5:$B$539,B138,$D$5:$D$539,D138,$F$5:$F$539,F138)&gt;1,"YES","No")</f>
        <v>No</v>
      </c>
      <c r="N138" s="4" t="str">
        <f aca="false">IFERROR(INDEX(Customer_Master!$B$5:$B$64,MATCH(B138,Customer_Master!$A$5:$A$64,0)),"UNMATCHED")</f>
        <v>Musa Sani</v>
      </c>
      <c r="O138" s="4" t="str">
        <f aca="false">IFERROR(INDEX(Customer_Master!$C$5:$C$64,MATCH(B138,Customer_Master!$A$5:$A$64,0)),"UNMATCHED")</f>
        <v>New</v>
      </c>
      <c r="P138" s="4" t="str">
        <f aca="false">IFERROR(INDEX(Customer_Master!$D$5:$D$64,MATCH(B138,Customer_Master!$A$5:$A$64,0)),"UNMATCHED")</f>
        <v>Kano</v>
      </c>
      <c r="Q138" s="4" t="str">
        <f aca="false">IF(N138="UNMATCHED","Unmatched","Matched")</f>
        <v>Matched</v>
      </c>
      <c r="R138" s="4" t="str">
        <f aca="false">IF(OR(E138="No",G138="No",I138="No",L138="YES",Q138="Unmatched"),"NEEDS REVIEW","OK")</f>
        <v>OK</v>
      </c>
    </row>
    <row r="139" customFormat="false" ht="15" hidden="false" customHeight="false" outlineLevel="0" collapsed="false">
      <c r="A139" s="4" t="str">
        <f aca="false">Orders_Raw!A139</f>
        <v>ORD00483</v>
      </c>
      <c r="B139" s="4" t="str">
        <f aca="false">TRIM(UPPER(Orders_Raw!B139))</f>
        <v>CUST0026</v>
      </c>
      <c r="C139" s="4" t="str">
        <f aca="false">PROPER(TRIM(Orders_Raw!C139))</f>
        <v>Amaka Yakubu</v>
      </c>
      <c r="D139" s="6" t="n">
        <f aca="false">IFERROR(DATEVALUE(Orders_Raw!D139),"")</f>
        <v>46181</v>
      </c>
      <c r="E139" s="4" t="str">
        <f aca="false">IF(D139="","No","Yes")</f>
        <v>Yes</v>
      </c>
      <c r="F139" s="4" t="n">
        <f aca="false">IFERROR(VALUE(SUBSTITUTE(SUBSTITUTE(SUBSTITUTE(Orders_Raw!G139,"$",""),"NGN",""),",","")),"")</f>
        <v>1376.65</v>
      </c>
      <c r="G139" s="4" t="str">
        <f aca="false">IF(F139="","No","Yes")</f>
        <v>Yes</v>
      </c>
      <c r="H139" s="4" t="str">
        <f aca="false">Orders_Raw!F139</f>
        <v>2</v>
      </c>
      <c r="I139" s="4" t="str">
        <f aca="false">IF(H139="","No",IF(H139&lt;=0,"No","Yes"))</f>
        <v>Yes</v>
      </c>
      <c r="J139" s="4" t="str">
        <f aca="false">Orders_Raw!E139</f>
        <v>Speaker</v>
      </c>
      <c r="K139" s="4" t="str">
        <f aca="false">Orders_Raw!H139</f>
        <v>2026-06-08 14:50</v>
      </c>
      <c r="L139" s="4" t="str">
        <f aca="false">IF(COUNTIF(Orders_Raw!$A$5:$A$539,A139)&gt;1,"YES","No")</f>
        <v>No</v>
      </c>
      <c r="M139" s="4" t="str">
        <f aca="false">IF(COUNTIFS($B$5:$B$539,B139,$D$5:$D$539,D139,$F$5:$F$539,F139)&gt;1,"YES","No")</f>
        <v>No</v>
      </c>
      <c r="N139" s="4" t="str">
        <f aca="false">IFERROR(INDEX(Customer_Master!$B$5:$B$64,MATCH(B139,Customer_Master!$A$5:$A$64,0)),"UNMATCHED")</f>
        <v>Amaka Yakubu</v>
      </c>
      <c r="O139" s="4" t="str">
        <f aca="false">IFERROR(INDEX(Customer_Master!$C$5:$C$64,MATCH(B139,Customer_Master!$A$5:$A$64,0)),"UNMATCHED")</f>
        <v>Lost / Low-Value</v>
      </c>
      <c r="P139" s="4" t="str">
        <f aca="false">IFERROR(INDEX(Customer_Master!$D$5:$D$64,MATCH(B139,Customer_Master!$A$5:$A$64,0)),"UNMATCHED")</f>
        <v>Kaduna</v>
      </c>
      <c r="Q139" s="4" t="str">
        <f aca="false">IF(N139="UNMATCHED","Unmatched","Matched")</f>
        <v>Matched</v>
      </c>
      <c r="R139" s="4" t="str">
        <f aca="false">IF(OR(E139="No",G139="No",I139="No",L139="YES",Q139="Unmatched"),"NEEDS REVIEW","OK")</f>
        <v>OK</v>
      </c>
    </row>
    <row r="140" customFormat="false" ht="15" hidden="false" customHeight="false" outlineLevel="0" collapsed="false">
      <c r="A140" s="4" t="str">
        <f aca="false">Orders_Raw!A140</f>
        <v>ORD00435</v>
      </c>
      <c r="B140" s="4" t="str">
        <f aca="false">TRIM(UPPER(Orders_Raw!B140))</f>
        <v>CUST0043</v>
      </c>
      <c r="C140" s="4" t="str">
        <f aca="false">PROPER(TRIM(Orders_Raw!C140))</f>
        <v>Grace Ajayi</v>
      </c>
      <c r="D140" s="6" t="n">
        <f aca="false">IFERROR(DATEVALUE(Orders_Raw!D140),"")</f>
        <v>46112</v>
      </c>
      <c r="E140" s="4" t="str">
        <f aca="false">IF(D140="","No","Yes")</f>
        <v>Yes</v>
      </c>
      <c r="F140" s="4" t="n">
        <f aca="false">IFERROR(VALUE(SUBSTITUTE(SUBSTITUTE(SUBSTITUTE(Orders_Raw!G140,"$",""),"NGN",""),",","")),"")</f>
        <v>812.03</v>
      </c>
      <c r="G140" s="4" t="str">
        <f aca="false">IF(F140="","No","Yes")</f>
        <v>Yes</v>
      </c>
      <c r="H140" s="4" t="n">
        <f aca="false">Orders_Raw!F140</f>
        <v>0</v>
      </c>
      <c r="I140" s="4" t="str">
        <f aca="false">IF(H140="","No",IF(H140&lt;=0,"No","Yes"))</f>
        <v>No</v>
      </c>
      <c r="J140" s="4" t="str">
        <f aca="false">Orders_Raw!E140</f>
        <v>Mouse</v>
      </c>
      <c r="K140" s="4" t="str">
        <f aca="false">Orders_Raw!H140</f>
        <v>2026-03-31 10:22</v>
      </c>
      <c r="L140" s="4" t="str">
        <f aca="false">IF(COUNTIF(Orders_Raw!$A$5:$A$539,A140)&gt;1,"YES","No")</f>
        <v>No</v>
      </c>
      <c r="M140" s="4" t="str">
        <f aca="false">IF(COUNTIFS($B$5:$B$539,B140,$D$5:$D$539,D140,$F$5:$F$539,F140)&gt;1,"YES","No")</f>
        <v>No</v>
      </c>
      <c r="N140" s="4" t="str">
        <f aca="false">IFERROR(INDEX(Customer_Master!$B$5:$B$64,MATCH(B140,Customer_Master!$A$5:$A$64,0)),"UNMATCHED")</f>
        <v>Grace Ajayi</v>
      </c>
      <c r="O140" s="4" t="str">
        <f aca="false">IFERROR(INDEX(Customer_Master!$C$5:$C$64,MATCH(B140,Customer_Master!$A$5:$A$64,0)),"UNMATCHED")</f>
        <v>New</v>
      </c>
      <c r="P140" s="4" t="str">
        <f aca="false">IFERROR(INDEX(Customer_Master!$D$5:$D$64,MATCH(B140,Customer_Master!$A$5:$A$64,0)),"UNMATCHED")</f>
        <v>Abuja</v>
      </c>
      <c r="Q140" s="4" t="str">
        <f aca="false">IF(N140="UNMATCHED","Unmatched","Matched")</f>
        <v>Matched</v>
      </c>
      <c r="R140" s="4" t="str">
        <f aca="false">IF(OR(E140="No",G140="No",I140="No",L140="YES",Q140="Unmatched"),"NEEDS REVIEW","OK")</f>
        <v>NEEDS REVIEW</v>
      </c>
    </row>
    <row r="141" customFormat="false" ht="15" hidden="false" customHeight="false" outlineLevel="0" collapsed="false">
      <c r="A141" s="4" t="str">
        <f aca="false">Orders_Raw!A141</f>
        <v>ORD00415</v>
      </c>
      <c r="B141" s="4" t="str">
        <f aca="false">TRIM(UPPER(Orders_Raw!B141))</f>
        <v>CUST0029</v>
      </c>
      <c r="C141" s="4" t="str">
        <f aca="false">PROPER(TRIM(Orders_Raw!C141))</f>
        <v>James Uche</v>
      </c>
      <c r="D141" s="6" t="str">
        <f aca="false">IFERROR(DATEVALUE(Orders_Raw!D141),"")</f>
        <v/>
      </c>
      <c r="E141" s="4" t="str">
        <f aca="false">IF(D141="","No","Yes")</f>
        <v>No</v>
      </c>
      <c r="F141" s="4" t="n">
        <f aca="false">IFERROR(VALUE(SUBSTITUTE(SUBSTITUTE(SUBSTITUTE(Orders_Raw!G141,"$",""),"NGN",""),",","")),"")</f>
        <v>486.59</v>
      </c>
      <c r="G141" s="4" t="str">
        <f aca="false">IF(F141="","No","Yes")</f>
        <v>Yes</v>
      </c>
      <c r="H141" s="4" t="str">
        <f aca="false">Orders_Raw!F141</f>
        <v>3</v>
      </c>
      <c r="I141" s="4" t="str">
        <f aca="false">IF(H141="","No",IF(H141&lt;=0,"No","Yes"))</f>
        <v>Yes</v>
      </c>
      <c r="J141" s="4" t="str">
        <f aca="false">Orders_Raw!E141</f>
        <v>Mouse</v>
      </c>
      <c r="K141" s="4" t="str">
        <f aca="false">Orders_Raw!H141</f>
        <v>2026-06-28 17:58</v>
      </c>
      <c r="L141" s="4" t="str">
        <f aca="false">IF(COUNTIF(Orders_Raw!$A$5:$A$539,A141)&gt;1,"YES","No")</f>
        <v>No</v>
      </c>
      <c r="M141" s="4" t="str">
        <f aca="false">IF(COUNTIFS($B$5:$B$539,B141,$D$5:$D$539,D141,$F$5:$F$539,F141)&gt;1,"YES","No")</f>
        <v>No</v>
      </c>
      <c r="N141" s="4" t="str">
        <f aca="false">IFERROR(INDEX(Customer_Master!$B$5:$B$64,MATCH(B141,Customer_Master!$A$5:$A$64,0)),"UNMATCHED")</f>
        <v>James Uche</v>
      </c>
      <c r="O141" s="4" t="str">
        <f aca="false">IFERROR(INDEX(Customer_Master!$C$5:$C$64,MATCH(B141,Customer_Master!$A$5:$A$64,0)),"UNMATCHED")</f>
        <v>Lost / Low-Value</v>
      </c>
      <c r="P141" s="4" t="str">
        <f aca="false">IFERROR(INDEX(Customer_Master!$D$5:$D$64,MATCH(B141,Customer_Master!$A$5:$A$64,0)),"UNMATCHED")</f>
        <v>Enugu</v>
      </c>
      <c r="Q141" s="4" t="str">
        <f aca="false">IF(N141="UNMATCHED","Unmatched","Matched")</f>
        <v>Matched</v>
      </c>
      <c r="R141" s="4" t="str">
        <f aca="false">IF(OR(E141="No",G141="No",I141="No",L141="YES",Q141="Unmatched"),"NEEDS REVIEW","OK")</f>
        <v>NEEDS REVIEW</v>
      </c>
    </row>
    <row r="142" customFormat="false" ht="15" hidden="false" customHeight="false" outlineLevel="0" collapsed="false">
      <c r="A142" s="4" t="str">
        <f aca="false">Orders_Raw!A142</f>
        <v>ORD00434</v>
      </c>
      <c r="B142" s="4" t="str">
        <f aca="false">TRIM(UPPER(Orders_Raw!B142))</f>
        <v>CUST0037</v>
      </c>
      <c r="C142" s="4" t="str">
        <f aca="false">PROPER(TRIM(Orders_Raw!C142))</f>
        <v>Blessing Obi</v>
      </c>
      <c r="D142" s="6" t="n">
        <f aca="false">IFERROR(DATEVALUE(Orders_Raw!D142),"")</f>
        <v>46211</v>
      </c>
      <c r="E142" s="4" t="str">
        <f aca="false">IF(D142="","No","Yes")</f>
        <v>Yes</v>
      </c>
      <c r="F142" s="4" t="n">
        <f aca="false">IFERROR(VALUE(SUBSTITUTE(SUBSTITUTE(SUBSTITUTE(Orders_Raw!G142,"$",""),"NGN",""),",","")),"")</f>
        <v>626.92</v>
      </c>
      <c r="G142" s="4" t="str">
        <f aca="false">IF(F142="","No","Yes")</f>
        <v>Yes</v>
      </c>
      <c r="H142" s="4" t="str">
        <f aca="false">Orders_Raw!F142</f>
        <v>2</v>
      </c>
      <c r="I142" s="4" t="str">
        <f aca="false">IF(H142="","No",IF(H142&lt;=0,"No","Yes"))</f>
        <v>Yes</v>
      </c>
      <c r="J142" s="4" t="str">
        <f aca="false">Orders_Raw!E142</f>
        <v>Speaker</v>
      </c>
      <c r="K142" s="4" t="str">
        <f aca="false">Orders_Raw!H142</f>
        <v>2026-07-08 09:07</v>
      </c>
      <c r="L142" s="4" t="str">
        <f aca="false">IF(COUNTIF(Orders_Raw!$A$5:$A$539,A142)&gt;1,"YES","No")</f>
        <v>No</v>
      </c>
      <c r="M142" s="4" t="str">
        <f aca="false">IF(COUNTIFS($B$5:$B$539,B142,$D$5:$D$539,D142,$F$5:$F$539,F142)&gt;1,"YES","No")</f>
        <v>No</v>
      </c>
      <c r="N142" s="4" t="str">
        <f aca="false">IFERROR(INDEX(Customer_Master!$B$5:$B$64,MATCH(B142,Customer_Master!$A$5:$A$64,0)),"UNMATCHED")</f>
        <v>Blessing Obi</v>
      </c>
      <c r="O142" s="4" t="str">
        <f aca="false">IFERROR(INDEX(Customer_Master!$C$5:$C$64,MATCH(B142,Customer_Master!$A$5:$A$64,0)),"UNMATCHED")</f>
        <v>Lost / Low-Value</v>
      </c>
      <c r="P142" s="4" t="str">
        <f aca="false">IFERROR(INDEX(Customer_Master!$D$5:$D$64,MATCH(B142,Customer_Master!$A$5:$A$64,0)),"UNMATCHED")</f>
        <v>Lagos</v>
      </c>
      <c r="Q142" s="4" t="str">
        <f aca="false">IF(N142="UNMATCHED","Unmatched","Matched")</f>
        <v>Matched</v>
      </c>
      <c r="R142" s="4" t="str">
        <f aca="false">IF(OR(E142="No",G142="No",I142="No",L142="YES",Q142="Unmatched"),"NEEDS REVIEW","OK")</f>
        <v>OK</v>
      </c>
    </row>
    <row r="143" customFormat="false" ht="15" hidden="false" customHeight="false" outlineLevel="0" collapsed="false">
      <c r="A143" s="4" t="str">
        <f aca="false">Orders_Raw!A143</f>
        <v>ORD00393</v>
      </c>
      <c r="B143" s="4" t="str">
        <f aca="false">TRIM(UPPER(Orders_Raw!B143))</f>
        <v>CUST0008</v>
      </c>
      <c r="C143" s="4" t="str">
        <f aca="false">PROPER(TRIM(Orders_Raw!C143))</f>
        <v>Victor Duru</v>
      </c>
      <c r="D143" s="6" t="n">
        <f aca="false">IFERROR(DATEVALUE(Orders_Raw!D143),"")</f>
        <v>46073</v>
      </c>
      <c r="E143" s="4" t="str">
        <f aca="false">IF(D143="","No","Yes")</f>
        <v>Yes</v>
      </c>
      <c r="F143" s="4" t="n">
        <f aca="false">IFERROR(VALUE(SUBSTITUTE(SUBSTITUTE(SUBSTITUTE(Orders_Raw!G143,"$",""),"NGN",""),",","")),"")</f>
        <v>1446.1</v>
      </c>
      <c r="G143" s="4" t="str">
        <f aca="false">IF(F143="","No","Yes")</f>
        <v>Yes</v>
      </c>
      <c r="H143" s="4" t="str">
        <f aca="false">Orders_Raw!F143</f>
        <v>1</v>
      </c>
      <c r="I143" s="4" t="str">
        <f aca="false">IF(H143="","No",IF(H143&lt;=0,"No","Yes"))</f>
        <v>Yes</v>
      </c>
      <c r="J143" s="4" t="str">
        <f aca="false">Orders_Raw!E143</f>
        <v>Keyboard</v>
      </c>
      <c r="K143" s="4" t="str">
        <f aca="false">Orders_Raw!H143</f>
        <v>2026-02-20 18:32</v>
      </c>
      <c r="L143" s="4" t="str">
        <f aca="false">IF(COUNTIF(Orders_Raw!$A$5:$A$539,A143)&gt;1,"YES","No")</f>
        <v>No</v>
      </c>
      <c r="M143" s="4" t="str">
        <f aca="false">IF(COUNTIFS($B$5:$B$539,B143,$D$5:$D$539,D143,$F$5:$F$539,F143)&gt;1,"YES","No")</f>
        <v>No</v>
      </c>
      <c r="N143" s="4" t="str">
        <f aca="false">IFERROR(INDEX(Customer_Master!$B$5:$B$64,MATCH(B143,Customer_Master!$A$5:$A$64,0)),"UNMATCHED")</f>
        <v>Victor Duru</v>
      </c>
      <c r="O143" s="4" t="str">
        <f aca="false">IFERROR(INDEX(Customer_Master!$C$5:$C$64,MATCH(B143,Customer_Master!$A$5:$A$64,0)),"UNMATCHED")</f>
        <v>Loyal</v>
      </c>
      <c r="P143" s="4" t="str">
        <f aca="false">IFERROR(INDEX(Customer_Master!$D$5:$D$64,MATCH(B143,Customer_Master!$A$5:$A$64,0)),"UNMATCHED")</f>
        <v>Enugu</v>
      </c>
      <c r="Q143" s="4" t="str">
        <f aca="false">IF(N143="UNMATCHED","Unmatched","Matched")</f>
        <v>Matched</v>
      </c>
      <c r="R143" s="4" t="str">
        <f aca="false">IF(OR(E143="No",G143="No",I143="No",L143="YES",Q143="Unmatched"),"NEEDS REVIEW","OK")</f>
        <v>OK</v>
      </c>
    </row>
    <row r="144" customFormat="false" ht="15" hidden="false" customHeight="false" outlineLevel="0" collapsed="false">
      <c r="A144" s="4" t="str">
        <f aca="false">Orders_Raw!A144</f>
        <v>ORD00460</v>
      </c>
      <c r="B144" s="4" t="str">
        <f aca="false">TRIM(UPPER(Orders_Raw!B144))</f>
        <v>CUST0006</v>
      </c>
      <c r="C144" s="4" t="str">
        <f aca="false">PROPER(TRIM(Orders_Raw!C144))</f>
        <v>Joy Nwosu</v>
      </c>
      <c r="D144" s="6" t="n">
        <f aca="false">IFERROR(DATEVALUE(Orders_Raw!D144),"")</f>
        <v>46085</v>
      </c>
      <c r="E144" s="4" t="str">
        <f aca="false">IF(D144="","No","Yes")</f>
        <v>Yes</v>
      </c>
      <c r="F144" s="4" t="n">
        <f aca="false">IFERROR(VALUE(SUBSTITUTE(SUBSTITUTE(SUBSTITUTE(Orders_Raw!G144,"$",""),"NGN",""),",","")),"")</f>
        <v>706.11</v>
      </c>
      <c r="G144" s="4" t="str">
        <f aca="false">IF(F144="","No","Yes")</f>
        <v>Yes</v>
      </c>
      <c r="H144" s="4" t="str">
        <f aca="false">Orders_Raw!F144</f>
        <v>5</v>
      </c>
      <c r="I144" s="4" t="str">
        <f aca="false">IF(H144="","No",IF(H144&lt;=0,"No","Yes"))</f>
        <v>Yes</v>
      </c>
      <c r="J144" s="4" t="str">
        <f aca="false">Orders_Raw!E144</f>
        <v>Headphones</v>
      </c>
      <c r="K144" s="4" t="str">
        <f aca="false">Orders_Raw!H144</f>
        <v>2026-03-04 08:41</v>
      </c>
      <c r="L144" s="4" t="str">
        <f aca="false">IF(COUNTIF(Orders_Raw!$A$5:$A$539,A144)&gt;1,"YES","No")</f>
        <v>No</v>
      </c>
      <c r="M144" s="4" t="str">
        <f aca="false">IF(COUNTIFS($B$5:$B$539,B144,$D$5:$D$539,D144,$F$5:$F$539,F144)&gt;1,"YES","No")</f>
        <v>No</v>
      </c>
      <c r="N144" s="4" t="str">
        <f aca="false">IFERROR(INDEX(Customer_Master!$B$5:$B$64,MATCH(B144,Customer_Master!$A$5:$A$64,0)),"UNMATCHED")</f>
        <v>Joy Nwosu</v>
      </c>
      <c r="O144" s="4" t="str">
        <f aca="false">IFERROR(INDEX(Customer_Master!$C$5:$C$64,MATCH(B144,Customer_Master!$A$5:$A$64,0)),"UNMATCHED")</f>
        <v>New</v>
      </c>
      <c r="P144" s="4" t="str">
        <f aca="false">IFERROR(INDEX(Customer_Master!$D$5:$D$64,MATCH(B144,Customer_Master!$A$5:$A$64,0)),"UNMATCHED")</f>
        <v>Enugu</v>
      </c>
      <c r="Q144" s="4" t="str">
        <f aca="false">IF(N144="UNMATCHED","Unmatched","Matched")</f>
        <v>Matched</v>
      </c>
      <c r="R144" s="4" t="str">
        <f aca="false">IF(OR(E144="No",G144="No",I144="No",L144="YES",Q144="Unmatched"),"NEEDS REVIEW","OK")</f>
        <v>OK</v>
      </c>
    </row>
    <row r="145" customFormat="false" ht="15" hidden="false" customHeight="false" outlineLevel="0" collapsed="false">
      <c r="A145" s="4" t="str">
        <f aca="false">Orders_Raw!A145</f>
        <v>ORD00032</v>
      </c>
      <c r="B145" s="4" t="str">
        <f aca="false">TRIM(UPPER(Orders_Raw!B145))</f>
        <v>CUST0002</v>
      </c>
      <c r="C145" s="4" t="str">
        <f aca="false">PROPER(TRIM(Orders_Raw!C145))</f>
        <v>Tunde Ajayi</v>
      </c>
      <c r="D145" s="6" t="n">
        <f aca="false">IFERROR(DATEVALUE(Orders_Raw!D145),"")</f>
        <v>46141</v>
      </c>
      <c r="E145" s="4" t="str">
        <f aca="false">IF(D145="","No","Yes")</f>
        <v>Yes</v>
      </c>
      <c r="F145" s="4" t="n">
        <f aca="false">IFERROR(VALUE(SUBSTITUTE(SUBSTITUTE(SUBSTITUTE(Orders_Raw!G145,"$",""),"NGN",""),",","")),"")</f>
        <v>139.96</v>
      </c>
      <c r="G145" s="4" t="str">
        <f aca="false">IF(F145="","No","Yes")</f>
        <v>Yes</v>
      </c>
      <c r="H145" s="4" t="str">
        <f aca="false">Orders_Raw!F145</f>
        <v>2</v>
      </c>
      <c r="I145" s="4" t="str">
        <f aca="false">IF(H145="","No",IF(H145&lt;=0,"No","Yes"))</f>
        <v>Yes</v>
      </c>
      <c r="J145" s="4" t="str">
        <f aca="false">Orders_Raw!E145</f>
        <v>Monitor</v>
      </c>
      <c r="K145" s="4" t="str">
        <f aca="false">Orders_Raw!H145</f>
        <v>2026-04-29 12:48</v>
      </c>
      <c r="L145" s="4" t="str">
        <f aca="false">IF(COUNTIF(Orders_Raw!$A$5:$A$539,A145)&gt;1,"YES","No")</f>
        <v>No</v>
      </c>
      <c r="M145" s="4" t="str">
        <f aca="false">IF(COUNTIFS($B$5:$B$539,B145,$D$5:$D$539,D145,$F$5:$F$539,F145)&gt;1,"YES","No")</f>
        <v>No</v>
      </c>
      <c r="N145" s="4" t="str">
        <f aca="false">IFERROR(INDEX(Customer_Master!$B$5:$B$64,MATCH(B145,Customer_Master!$A$5:$A$64,0)),"UNMATCHED")</f>
        <v>Tunde Ajayi</v>
      </c>
      <c r="O145" s="4" t="str">
        <f aca="false">IFERROR(INDEX(Customer_Master!$C$5:$C$64,MATCH(B145,Customer_Master!$A$5:$A$64,0)),"UNMATCHED")</f>
        <v>Loyal</v>
      </c>
      <c r="P145" s="4" t="str">
        <f aca="false">IFERROR(INDEX(Customer_Master!$D$5:$D$64,MATCH(B145,Customer_Master!$A$5:$A$64,0)),"UNMATCHED")</f>
        <v>Abuja</v>
      </c>
      <c r="Q145" s="4" t="str">
        <f aca="false">IF(N145="UNMATCHED","Unmatched","Matched")</f>
        <v>Matched</v>
      </c>
      <c r="R145" s="4" t="str">
        <f aca="false">IF(OR(E145="No",G145="No",I145="No",L145="YES",Q145="Unmatched"),"NEEDS REVIEW","OK")</f>
        <v>OK</v>
      </c>
    </row>
    <row r="146" customFormat="false" ht="15" hidden="false" customHeight="false" outlineLevel="0" collapsed="false">
      <c r="A146" s="4" t="str">
        <f aca="false">Orders_Raw!A146</f>
        <v>ORD00388</v>
      </c>
      <c r="B146" s="4" t="str">
        <f aca="false">TRIM(UPPER(Orders_Raw!B146))</f>
        <v>CUST0036</v>
      </c>
      <c r="C146" s="4" t="str">
        <f aca="false">PROPER(TRIM(Orders_Raw!C146))</f>
        <v>Esther Umeh</v>
      </c>
      <c r="D146" s="6" t="n">
        <f aca="false">IFERROR(DATEVALUE(Orders_Raw!D146),"")</f>
        <v>46143</v>
      </c>
      <c r="E146" s="4" t="str">
        <f aca="false">IF(D146="","No","Yes")</f>
        <v>Yes</v>
      </c>
      <c r="F146" s="4" t="n">
        <f aca="false">IFERROR(VALUE(SUBSTITUTE(SUBSTITUTE(SUBSTITUTE(Orders_Raw!G146,"$",""),"NGN",""),",","")),"")</f>
        <v>867.59</v>
      </c>
      <c r="G146" s="4" t="str">
        <f aca="false">IF(F146="","No","Yes")</f>
        <v>Yes</v>
      </c>
      <c r="H146" s="4" t="str">
        <f aca="false">Orders_Raw!F146</f>
        <v>2</v>
      </c>
      <c r="I146" s="4" t="str">
        <f aca="false">IF(H146="","No",IF(H146&lt;=0,"No","Yes"))</f>
        <v>Yes</v>
      </c>
      <c r="J146" s="4" t="str">
        <f aca="false">Orders_Raw!E146</f>
        <v>Keyboard</v>
      </c>
      <c r="K146" s="4" t="str">
        <f aca="false">Orders_Raw!H146</f>
        <v>2026-05-01 13:54</v>
      </c>
      <c r="L146" s="4" t="str">
        <f aca="false">IF(COUNTIF(Orders_Raw!$A$5:$A$539,A146)&gt;1,"YES","No")</f>
        <v>No</v>
      </c>
      <c r="M146" s="4" t="str">
        <f aca="false">IF(COUNTIFS($B$5:$B$539,B146,$D$5:$D$539,D146,$F$5:$F$539,F146)&gt;1,"YES","No")</f>
        <v>No</v>
      </c>
      <c r="N146" s="4" t="str">
        <f aca="false">IFERROR(INDEX(Customer_Master!$B$5:$B$64,MATCH(B146,Customer_Master!$A$5:$A$64,0)),"UNMATCHED")</f>
        <v>Esther Umeh</v>
      </c>
      <c r="O146" s="4" t="str">
        <f aca="false">IFERROR(INDEX(Customer_Master!$C$5:$C$64,MATCH(B146,Customer_Master!$A$5:$A$64,0)),"UNMATCHED")</f>
        <v>Champions</v>
      </c>
      <c r="P146" s="4" t="str">
        <f aca="false">IFERROR(INDEX(Customer_Master!$D$5:$D$64,MATCH(B146,Customer_Master!$A$5:$A$64,0)),"UNMATCHED")</f>
        <v>Ibadan</v>
      </c>
      <c r="Q146" s="4" t="str">
        <f aca="false">IF(N146="UNMATCHED","Unmatched","Matched")</f>
        <v>Matched</v>
      </c>
      <c r="R146" s="4" t="str">
        <f aca="false">IF(OR(E146="No",G146="No",I146="No",L146="YES",Q146="Unmatched"),"NEEDS REVIEW","OK")</f>
        <v>OK</v>
      </c>
    </row>
    <row r="147" customFormat="false" ht="15" hidden="false" customHeight="false" outlineLevel="0" collapsed="false">
      <c r="A147" s="4" t="str">
        <f aca="false">Orders_Raw!A147</f>
        <v>ORD00270</v>
      </c>
      <c r="B147" s="4" t="str">
        <f aca="false">TRIM(UPPER(Orders_Raw!B147))</f>
        <v>CUST0017</v>
      </c>
      <c r="C147" s="4" t="str">
        <f aca="false">PROPER(TRIM(Orders_Raw!C147))</f>
        <v>Ibrahim Ajayi</v>
      </c>
      <c r="D147" s="6" t="n">
        <f aca="false">IFERROR(DATEVALUE(Orders_Raw!D147),"")</f>
        <v>46112</v>
      </c>
      <c r="E147" s="4" t="str">
        <f aca="false">IF(D147="","No","Yes")</f>
        <v>Yes</v>
      </c>
      <c r="F147" s="4" t="n">
        <f aca="false">IFERROR(VALUE(SUBSTITUTE(SUBSTITUTE(SUBSTITUTE(Orders_Raw!G147,"$",""),"NGN",""),",","")),"")</f>
        <v>1970.74</v>
      </c>
      <c r="G147" s="4" t="str">
        <f aca="false">IF(F147="","No","Yes")</f>
        <v>Yes</v>
      </c>
      <c r="H147" s="4" t="str">
        <f aca="false">Orders_Raw!F147</f>
        <v>1</v>
      </c>
      <c r="I147" s="4" t="str">
        <f aca="false">IF(H147="","No",IF(H147&lt;=0,"No","Yes"))</f>
        <v>Yes</v>
      </c>
      <c r="J147" s="4" t="str">
        <f aca="false">Orders_Raw!E147</f>
        <v>Headphones</v>
      </c>
      <c r="K147" s="4" t="str">
        <f aca="false">Orders_Raw!H147</f>
        <v>2026-03-31 14:31</v>
      </c>
      <c r="L147" s="4" t="str">
        <f aca="false">IF(COUNTIF(Orders_Raw!$A$5:$A$539,A147)&gt;1,"YES","No")</f>
        <v>No</v>
      </c>
      <c r="M147" s="4" t="str">
        <f aca="false">IF(COUNTIFS($B$5:$B$539,B147,$D$5:$D$539,D147,$F$5:$F$539,F147)&gt;1,"YES","No")</f>
        <v>No</v>
      </c>
      <c r="N147" s="4" t="str">
        <f aca="false">IFERROR(INDEX(Customer_Master!$B$5:$B$64,MATCH(B147,Customer_Master!$A$5:$A$64,0)),"UNMATCHED")</f>
        <v>Ibrahim Ajayi</v>
      </c>
      <c r="O147" s="4" t="str">
        <f aca="false">IFERROR(INDEX(Customer_Master!$C$5:$C$64,MATCH(B147,Customer_Master!$A$5:$A$64,0)),"UNMATCHED")</f>
        <v>Champions</v>
      </c>
      <c r="P147" s="4" t="str">
        <f aca="false">IFERROR(INDEX(Customer_Master!$D$5:$D$64,MATCH(B147,Customer_Master!$A$5:$A$64,0)),"UNMATCHED")</f>
        <v>Enugu</v>
      </c>
      <c r="Q147" s="4" t="str">
        <f aca="false">IF(N147="UNMATCHED","Unmatched","Matched")</f>
        <v>Matched</v>
      </c>
      <c r="R147" s="4" t="str">
        <f aca="false">IF(OR(E147="No",G147="No",I147="No",L147="YES",Q147="Unmatched"),"NEEDS REVIEW","OK")</f>
        <v>OK</v>
      </c>
    </row>
    <row r="148" customFormat="false" ht="15" hidden="false" customHeight="false" outlineLevel="0" collapsed="false">
      <c r="A148" s="4" t="str">
        <f aca="false">Orders_Raw!A148</f>
        <v>ORD00164</v>
      </c>
      <c r="B148" s="4" t="str">
        <f aca="false">TRIM(UPPER(Orders_Raw!B148))</f>
        <v>CUST0047</v>
      </c>
      <c r="C148" s="4" t="str">
        <f aca="false">PROPER(TRIM(Orders_Raw!C148))</f>
        <v>Amaka Adamu</v>
      </c>
      <c r="D148" s="6" t="n">
        <f aca="false">IFERROR(DATEVALUE(Orders_Raw!D148),"")</f>
        <v>46190</v>
      </c>
      <c r="E148" s="4" t="str">
        <f aca="false">IF(D148="","No","Yes")</f>
        <v>Yes</v>
      </c>
      <c r="F148" s="4" t="n">
        <f aca="false">IFERROR(VALUE(SUBSTITUTE(SUBSTITUTE(SUBSTITUTE(Orders_Raw!G148,"$",""),"NGN",""),",","")),"")</f>
        <v>1736.53</v>
      </c>
      <c r="G148" s="4" t="str">
        <f aca="false">IF(F148="","No","Yes")</f>
        <v>Yes</v>
      </c>
      <c r="H148" s="4" t="str">
        <f aca="false">Orders_Raw!F148</f>
        <v>4</v>
      </c>
      <c r="I148" s="4" t="str">
        <f aca="false">IF(H148="","No",IF(H148&lt;=0,"No","Yes"))</f>
        <v>Yes</v>
      </c>
      <c r="J148" s="4" t="str">
        <f aca="false">Orders_Raw!E148</f>
        <v>Monitor</v>
      </c>
      <c r="K148" s="4" t="str">
        <f aca="false">Orders_Raw!H148</f>
        <v>2026-06-17 18:32</v>
      </c>
      <c r="L148" s="4" t="str">
        <f aca="false">IF(COUNTIF(Orders_Raw!$A$5:$A$539,A148)&gt;1,"YES","No")</f>
        <v>No</v>
      </c>
      <c r="M148" s="4" t="str">
        <f aca="false">IF(COUNTIFS($B$5:$B$539,B148,$D$5:$D$539,D148,$F$5:$F$539,F148)&gt;1,"YES","No")</f>
        <v>No</v>
      </c>
      <c r="N148" s="4" t="str">
        <f aca="false">IFERROR(INDEX(Customer_Master!$B$5:$B$64,MATCH(B148,Customer_Master!$A$5:$A$64,0)),"UNMATCHED")</f>
        <v>Amaka Adamu</v>
      </c>
      <c r="O148" s="4" t="str">
        <f aca="false">IFERROR(INDEX(Customer_Master!$C$5:$C$64,MATCH(B148,Customer_Master!$A$5:$A$64,0)),"UNMATCHED")</f>
        <v>Loyal</v>
      </c>
      <c r="P148" s="4" t="str">
        <f aca="false">IFERROR(INDEX(Customer_Master!$D$5:$D$64,MATCH(B148,Customer_Master!$A$5:$A$64,0)),"UNMATCHED")</f>
        <v>Ibadan</v>
      </c>
      <c r="Q148" s="4" t="str">
        <f aca="false">IF(N148="UNMATCHED","Unmatched","Matched")</f>
        <v>Matched</v>
      </c>
      <c r="R148" s="4" t="str">
        <f aca="false">IF(OR(E148="No",G148="No",I148="No",L148="YES",Q148="Unmatched"),"NEEDS REVIEW","OK")</f>
        <v>OK</v>
      </c>
    </row>
    <row r="149" customFormat="false" ht="15" hidden="false" customHeight="false" outlineLevel="0" collapsed="false">
      <c r="A149" s="4" t="str">
        <f aca="false">Orders_Raw!A149</f>
        <v>ORD00341</v>
      </c>
      <c r="B149" s="4" t="str">
        <f aca="false">TRIM(UPPER(Orders_Raw!B149))</f>
        <v>CUST0003</v>
      </c>
      <c r="C149" s="4" t="str">
        <f aca="false">PROPER(TRIM(Orders_Raw!C149))</f>
        <v>Chidi Adamu</v>
      </c>
      <c r="D149" s="6" t="n">
        <f aca="false">IFERROR(DATEVALUE(Orders_Raw!D149),"")</f>
        <v>46105</v>
      </c>
      <c r="E149" s="4" t="str">
        <f aca="false">IF(D149="","No","Yes")</f>
        <v>Yes</v>
      </c>
      <c r="F149" s="4" t="n">
        <f aca="false">IFERROR(VALUE(SUBSTITUTE(SUBSTITUTE(SUBSTITUTE(Orders_Raw!G149,"$",""),"NGN",""),",","")),"")</f>
        <v>219.63</v>
      </c>
      <c r="G149" s="4" t="str">
        <f aca="false">IF(F149="","No","Yes")</f>
        <v>Yes</v>
      </c>
      <c r="H149" s="4" t="str">
        <f aca="false">Orders_Raw!F149</f>
        <v>1</v>
      </c>
      <c r="I149" s="4" t="str">
        <f aca="false">IF(H149="","No",IF(H149&lt;=0,"No","Yes"))</f>
        <v>Yes</v>
      </c>
      <c r="J149" s="4" t="str">
        <f aca="false">Orders_Raw!E149</f>
        <v>Tablet</v>
      </c>
      <c r="K149" s="4" t="str">
        <f aca="false">Orders_Raw!H149</f>
        <v>2026-03-24 08:40</v>
      </c>
      <c r="L149" s="4" t="str">
        <f aca="false">IF(COUNTIF(Orders_Raw!$A$5:$A$539,A149)&gt;1,"YES","No")</f>
        <v>No</v>
      </c>
      <c r="M149" s="4" t="str">
        <f aca="false">IF(COUNTIFS($B$5:$B$539,B149,$D$5:$D$539,D149,$F$5:$F$539,F149)&gt;1,"YES","No")</f>
        <v>No</v>
      </c>
      <c r="N149" s="4" t="str">
        <f aca="false">IFERROR(INDEX(Customer_Master!$B$5:$B$64,MATCH(B149,Customer_Master!$A$5:$A$64,0)),"UNMATCHED")</f>
        <v>Chidi Adamu</v>
      </c>
      <c r="O149" s="4" t="str">
        <f aca="false">IFERROR(INDEX(Customer_Master!$C$5:$C$64,MATCH(B149,Customer_Master!$A$5:$A$64,0)),"UNMATCHED")</f>
        <v>Champions</v>
      </c>
      <c r="P149" s="4" t="str">
        <f aca="false">IFERROR(INDEX(Customer_Master!$D$5:$D$64,MATCH(B149,Customer_Master!$A$5:$A$64,0)),"UNMATCHED")</f>
        <v>Enugu</v>
      </c>
      <c r="Q149" s="4" t="str">
        <f aca="false">IF(N149="UNMATCHED","Unmatched","Matched")</f>
        <v>Matched</v>
      </c>
      <c r="R149" s="4" t="str">
        <f aca="false">IF(OR(E149="No",G149="No",I149="No",L149="YES",Q149="Unmatched"),"NEEDS REVIEW","OK")</f>
        <v>OK</v>
      </c>
    </row>
    <row r="150" customFormat="false" ht="15" hidden="false" customHeight="false" outlineLevel="0" collapsed="false">
      <c r="A150" s="4" t="str">
        <f aca="false">Orders_Raw!A150</f>
        <v>ORD00115</v>
      </c>
      <c r="B150" s="4" t="str">
        <f aca="false">TRIM(UPPER(Orders_Raw!B150))</f>
        <v>CUST0058</v>
      </c>
      <c r="C150" s="4" t="str">
        <f aca="false">PROPER(TRIM(Orders_Raw!C150))</f>
        <v>Blessing Balogun</v>
      </c>
      <c r="D150" s="6" t="n">
        <f aca="false">IFERROR(DATEVALUE(Orders_Raw!D150),"")</f>
        <v>46046</v>
      </c>
      <c r="E150" s="4" t="str">
        <f aca="false">IF(D150="","No","Yes")</f>
        <v>Yes</v>
      </c>
      <c r="F150" s="4" t="n">
        <f aca="false">IFERROR(VALUE(SUBSTITUTE(SUBSTITUTE(SUBSTITUTE(Orders_Raw!G150,"$",""),"NGN",""),",","")),"")</f>
        <v>2044.51</v>
      </c>
      <c r="G150" s="4" t="str">
        <f aca="false">IF(F150="","No","Yes")</f>
        <v>Yes</v>
      </c>
      <c r="H150" s="4" t="str">
        <f aca="false">Orders_Raw!F150</f>
        <v>1</v>
      </c>
      <c r="I150" s="4" t="str">
        <f aca="false">IF(H150="","No",IF(H150&lt;=0,"No","Yes"))</f>
        <v>Yes</v>
      </c>
      <c r="J150" s="4" t="str">
        <f aca="false">Orders_Raw!E150</f>
        <v>Keyboard</v>
      </c>
      <c r="K150" s="4" t="str">
        <f aca="false">Orders_Raw!H150</f>
        <v>2026-01-24 11:24</v>
      </c>
      <c r="L150" s="4" t="str">
        <f aca="false">IF(COUNTIF(Orders_Raw!$A$5:$A$539,A150)&gt;1,"YES","No")</f>
        <v>No</v>
      </c>
      <c r="M150" s="4" t="str">
        <f aca="false">IF(COUNTIFS($B$5:$B$539,B150,$D$5:$D$539,D150,$F$5:$F$539,F150)&gt;1,"YES","No")</f>
        <v>No</v>
      </c>
      <c r="N150" s="4" t="str">
        <f aca="false">IFERROR(INDEX(Customer_Master!$B$5:$B$64,MATCH(B150,Customer_Master!$A$5:$A$64,0)),"UNMATCHED")</f>
        <v>Blessing Balogun</v>
      </c>
      <c r="O150" s="4" t="str">
        <f aca="false">IFERROR(INDEX(Customer_Master!$C$5:$C$64,MATCH(B150,Customer_Master!$A$5:$A$64,0)),"UNMATCHED")</f>
        <v>Lost / Low-Value</v>
      </c>
      <c r="P150" s="4" t="str">
        <f aca="false">IFERROR(INDEX(Customer_Master!$D$5:$D$64,MATCH(B150,Customer_Master!$A$5:$A$64,0)),"UNMATCHED")</f>
        <v>Lagos</v>
      </c>
      <c r="Q150" s="4" t="str">
        <f aca="false">IF(N150="UNMATCHED","Unmatched","Matched")</f>
        <v>Matched</v>
      </c>
      <c r="R150" s="4" t="str">
        <f aca="false">IF(OR(E150="No",G150="No",I150="No",L150="YES",Q150="Unmatched"),"NEEDS REVIEW","OK")</f>
        <v>OK</v>
      </c>
    </row>
    <row r="151" customFormat="false" ht="15" hidden="false" customHeight="false" outlineLevel="0" collapsed="false">
      <c r="A151" s="4" t="str">
        <f aca="false">Orders_Raw!A151</f>
        <v>ORD00124</v>
      </c>
      <c r="B151" s="4" t="str">
        <f aca="false">TRIM(UPPER(Orders_Raw!B151))</f>
        <v>CUST0056</v>
      </c>
      <c r="C151" s="4" t="str">
        <f aca="false">PROPER(TRIM(Orders_Raw!C151))</f>
        <v>Tunde Yakubu</v>
      </c>
      <c r="D151" s="6" t="n">
        <f aca="false">IFERROR(DATEVALUE(Orders_Raw!D151),"")</f>
        <v>46329</v>
      </c>
      <c r="E151" s="4" t="str">
        <f aca="false">IF(D151="","No","Yes")</f>
        <v>Yes</v>
      </c>
      <c r="F151" s="4" t="n">
        <f aca="false">IFERROR(VALUE(SUBSTITUTE(SUBSTITUTE(SUBSTITUTE(Orders_Raw!G151,"$",""),"NGN",""),",","")),"")</f>
        <v>2001.37</v>
      </c>
      <c r="G151" s="4" t="str">
        <f aca="false">IF(F151="","No","Yes")</f>
        <v>Yes</v>
      </c>
      <c r="H151" s="4" t="str">
        <f aca="false">Orders_Raw!F151</f>
        <v>2</v>
      </c>
      <c r="I151" s="4" t="str">
        <f aca="false">IF(H151="","No",IF(H151&lt;=0,"No","Yes"))</f>
        <v>Yes</v>
      </c>
      <c r="J151" s="4" t="str">
        <f aca="false">Orders_Raw!E151</f>
        <v>Monitor</v>
      </c>
      <c r="K151" s="4" t="str">
        <f aca="false">Orders_Raw!H151</f>
        <v>2026-03-11 13:11</v>
      </c>
      <c r="L151" s="4" t="str">
        <f aca="false">IF(COUNTIF(Orders_Raw!$A$5:$A$539,A151)&gt;1,"YES","No")</f>
        <v>YES</v>
      </c>
      <c r="M151" s="4" t="str">
        <f aca="false">IF(COUNTIFS($B$5:$B$539,B151,$D$5:$D$539,D151,$F$5:$F$539,F151)&gt;1,"YES","No")</f>
        <v>YES</v>
      </c>
      <c r="N151" s="4" t="str">
        <f aca="false">IFERROR(INDEX(Customer_Master!$B$5:$B$64,MATCH(B151,Customer_Master!$A$5:$A$64,0)),"UNMATCHED")</f>
        <v>Tunde Yakubu</v>
      </c>
      <c r="O151" s="4" t="str">
        <f aca="false">IFERROR(INDEX(Customer_Master!$C$5:$C$64,MATCH(B151,Customer_Master!$A$5:$A$64,0)),"UNMATCHED")</f>
        <v>Lost / Low-Value</v>
      </c>
      <c r="P151" s="4" t="str">
        <f aca="false">IFERROR(INDEX(Customer_Master!$D$5:$D$64,MATCH(B151,Customer_Master!$A$5:$A$64,0)),"UNMATCHED")</f>
        <v>Kano</v>
      </c>
      <c r="Q151" s="4" t="str">
        <f aca="false">IF(N151="UNMATCHED","Unmatched","Matched")</f>
        <v>Matched</v>
      </c>
      <c r="R151" s="4" t="str">
        <f aca="false">IF(OR(E151="No",G151="No",I151="No",L151="YES",Q151="Unmatched"),"NEEDS REVIEW","OK")</f>
        <v>NEEDS REVIEW</v>
      </c>
    </row>
    <row r="152" customFormat="false" ht="15" hidden="false" customHeight="false" outlineLevel="0" collapsed="false">
      <c r="A152" s="4" t="str">
        <f aca="false">Orders_Raw!A152</f>
        <v>ORD00379</v>
      </c>
      <c r="B152" s="4" t="str">
        <f aca="false">TRIM(UPPER(Orders_Raw!B152))</f>
        <v>CUST0013</v>
      </c>
      <c r="C152" s="4" t="str">
        <f aca="false">PROPER(TRIM(Orders_Raw!C152))</f>
        <v>Joy Lawal</v>
      </c>
      <c r="D152" s="6" t="str">
        <f aca="false">IFERROR(DATEVALUE(Orders_Raw!D152),"")</f>
        <v/>
      </c>
      <c r="E152" s="4" t="str">
        <f aca="false">IF(D152="","No","Yes")</f>
        <v>No</v>
      </c>
      <c r="F152" s="4" t="n">
        <f aca="false">IFERROR(VALUE(SUBSTITUTE(SUBSTITUTE(SUBSTITUTE(Orders_Raw!G152,"$",""),"NGN",""),",","")),"")</f>
        <v>663.85</v>
      </c>
      <c r="G152" s="4" t="str">
        <f aca="false">IF(F152="","No","Yes")</f>
        <v>Yes</v>
      </c>
      <c r="H152" s="4" t="str">
        <f aca="false">Orders_Raw!F152</f>
        <v>3</v>
      </c>
      <c r="I152" s="4" t="str">
        <f aca="false">IF(H152="","No",IF(H152&lt;=0,"No","Yes"))</f>
        <v>Yes</v>
      </c>
      <c r="J152" s="4" t="str">
        <f aca="false">Orders_Raw!E152</f>
        <v>Mouse</v>
      </c>
      <c r="K152" s="4" t="str">
        <f aca="false">Orders_Raw!H152</f>
        <v>2026-05-28 13:07</v>
      </c>
      <c r="L152" s="4" t="str">
        <f aca="false">IF(COUNTIF(Orders_Raw!$A$5:$A$539,A152)&gt;1,"YES","No")</f>
        <v>YES</v>
      </c>
      <c r="M152" s="4" t="str">
        <f aca="false">IF(COUNTIFS($B$5:$B$539,B152,$D$5:$D$539,D152,$F$5:$F$539,F152)&gt;1,"YES","No")</f>
        <v>YES</v>
      </c>
      <c r="N152" s="4" t="str">
        <f aca="false">IFERROR(INDEX(Customer_Master!$B$5:$B$64,MATCH(B152,Customer_Master!$A$5:$A$64,0)),"UNMATCHED")</f>
        <v>Joy Lawal</v>
      </c>
      <c r="O152" s="4" t="str">
        <f aca="false">IFERROR(INDEX(Customer_Master!$C$5:$C$64,MATCH(B152,Customer_Master!$A$5:$A$64,0)),"UNMATCHED")</f>
        <v>Lost / Low-Value</v>
      </c>
      <c r="P152" s="4" t="str">
        <f aca="false">IFERROR(INDEX(Customer_Master!$D$5:$D$64,MATCH(B152,Customer_Master!$A$5:$A$64,0)),"UNMATCHED")</f>
        <v>Abuja</v>
      </c>
      <c r="Q152" s="4" t="str">
        <f aca="false">IF(N152="UNMATCHED","Unmatched","Matched")</f>
        <v>Matched</v>
      </c>
      <c r="R152" s="4" t="str">
        <f aca="false">IF(OR(E152="No",G152="No",I152="No",L152="YES",Q152="Unmatched"),"NEEDS REVIEW","OK")</f>
        <v>NEEDS REVIEW</v>
      </c>
    </row>
    <row r="153" customFormat="false" ht="15" hidden="false" customHeight="false" outlineLevel="0" collapsed="false">
      <c r="A153" s="4" t="str">
        <f aca="false">Orders_Raw!A153</f>
        <v>ORD00381</v>
      </c>
      <c r="B153" s="4" t="str">
        <f aca="false">TRIM(UPPER(Orders_Raw!B153))</f>
        <v>CUST0030</v>
      </c>
      <c r="C153" s="4" t="str">
        <f aca="false">PROPER(TRIM(Orders_Raw!C153))</f>
        <v>Ifeoma Ajayi</v>
      </c>
      <c r="D153" s="6" t="n">
        <f aca="false">IFERROR(DATEVALUE(Orders_Raw!D153),"")</f>
        <v>46117</v>
      </c>
      <c r="E153" s="4" t="str">
        <f aca="false">IF(D153="","No","Yes")</f>
        <v>Yes</v>
      </c>
      <c r="F153" s="4" t="n">
        <f aca="false">IFERROR(VALUE(SUBSTITUTE(SUBSTITUTE(SUBSTITUTE(Orders_Raw!G153,"$",""),"NGN",""),",","")),"")</f>
        <v>655.68</v>
      </c>
      <c r="G153" s="4" t="str">
        <f aca="false">IF(F153="","No","Yes")</f>
        <v>Yes</v>
      </c>
      <c r="H153" s="4" t="str">
        <f aca="false">Orders_Raw!F153</f>
        <v>4</v>
      </c>
      <c r="I153" s="4" t="str">
        <f aca="false">IF(H153="","No",IF(H153&lt;=0,"No","Yes"))</f>
        <v>Yes</v>
      </c>
      <c r="J153" s="4" t="str">
        <f aca="false">Orders_Raw!E153</f>
        <v>Charger</v>
      </c>
      <c r="K153" s="4" t="str">
        <f aca="false">Orders_Raw!H153</f>
        <v>2026-05-04 13:26</v>
      </c>
      <c r="L153" s="4" t="str">
        <f aca="false">IF(COUNTIF(Orders_Raw!$A$5:$A$539,A153)&gt;1,"YES","No")</f>
        <v>No</v>
      </c>
      <c r="M153" s="4" t="str">
        <f aca="false">IF(COUNTIFS($B$5:$B$539,B153,$D$5:$D$539,D153,$F$5:$F$539,F153)&gt;1,"YES","No")</f>
        <v>No</v>
      </c>
      <c r="N153" s="4" t="str">
        <f aca="false">IFERROR(INDEX(Customer_Master!$B$5:$B$64,MATCH(B153,Customer_Master!$A$5:$A$64,0)),"UNMATCHED")</f>
        <v>Ifeoma Ajayi</v>
      </c>
      <c r="O153" s="4" t="str">
        <f aca="false">IFERROR(INDEX(Customer_Master!$C$5:$C$64,MATCH(B153,Customer_Master!$A$5:$A$64,0)),"UNMATCHED")</f>
        <v>Loyal</v>
      </c>
      <c r="P153" s="4" t="str">
        <f aca="false">IFERROR(INDEX(Customer_Master!$D$5:$D$64,MATCH(B153,Customer_Master!$A$5:$A$64,0)),"UNMATCHED")</f>
        <v>Kaduna</v>
      </c>
      <c r="Q153" s="4" t="str">
        <f aca="false">IF(N153="UNMATCHED","Unmatched","Matched")</f>
        <v>Matched</v>
      </c>
      <c r="R153" s="4" t="str">
        <f aca="false">IF(OR(E153="No",G153="No",I153="No",L153="YES",Q153="Unmatched"),"NEEDS REVIEW","OK")</f>
        <v>OK</v>
      </c>
    </row>
    <row r="154" customFormat="false" ht="15" hidden="false" customHeight="false" outlineLevel="0" collapsed="false">
      <c r="A154" s="4" t="str">
        <f aca="false">Orders_Raw!A154</f>
        <v>ORD00160</v>
      </c>
      <c r="B154" s="4" t="str">
        <f aca="false">TRIM(UPPER(Orders_Raw!B154))</f>
        <v>CUST0048</v>
      </c>
      <c r="C154" s="4" t="str">
        <f aca="false">PROPER(TRIM(Orders_Raw!C154))</f>
        <v>Musa Chukwu</v>
      </c>
      <c r="D154" s="6" t="n">
        <f aca="false">IFERROR(DATEVALUE(Orders_Raw!D154),"")</f>
        <v>46296</v>
      </c>
      <c r="E154" s="4" t="str">
        <f aca="false">IF(D154="","No","Yes")</f>
        <v>Yes</v>
      </c>
      <c r="F154" s="4" t="n">
        <f aca="false">IFERROR(VALUE(SUBSTITUTE(SUBSTITUTE(SUBSTITUTE(Orders_Raw!G154,"$",""),"NGN",""),",","")),"")</f>
        <v>756.5</v>
      </c>
      <c r="G154" s="4" t="str">
        <f aca="false">IF(F154="","No","Yes")</f>
        <v>Yes</v>
      </c>
      <c r="H154" s="4" t="str">
        <f aca="false">Orders_Raw!F154</f>
        <v>1</v>
      </c>
      <c r="I154" s="4" t="str">
        <f aca="false">IF(H154="","No",IF(H154&lt;=0,"No","Yes"))</f>
        <v>Yes</v>
      </c>
      <c r="J154" s="4" t="str">
        <f aca="false">Orders_Raw!E154</f>
        <v>Printer</v>
      </c>
      <c r="K154" s="4" t="str">
        <f aca="false">Orders_Raw!H154</f>
        <v>2026-01-10 18:34</v>
      </c>
      <c r="L154" s="4" t="str">
        <f aca="false">IF(COUNTIF(Orders_Raw!$A$5:$A$539,A154)&gt;1,"YES","No")</f>
        <v>No</v>
      </c>
      <c r="M154" s="4" t="str">
        <f aca="false">IF(COUNTIFS($B$5:$B$539,B154,$D$5:$D$539,D154,$F$5:$F$539,F154)&gt;1,"YES","No")</f>
        <v>No</v>
      </c>
      <c r="N154" s="4" t="str">
        <f aca="false">IFERROR(INDEX(Customer_Master!$B$5:$B$64,MATCH(B154,Customer_Master!$A$5:$A$64,0)),"UNMATCHED")</f>
        <v>Musa Chukwu</v>
      </c>
      <c r="O154" s="4" t="str">
        <f aca="false">IFERROR(INDEX(Customer_Master!$C$5:$C$64,MATCH(B154,Customer_Master!$A$5:$A$64,0)),"UNMATCHED")</f>
        <v>Lost / Low-Value</v>
      </c>
      <c r="P154" s="4" t="str">
        <f aca="false">IFERROR(INDEX(Customer_Master!$D$5:$D$64,MATCH(B154,Customer_Master!$A$5:$A$64,0)),"UNMATCHED")</f>
        <v>Kaduna</v>
      </c>
      <c r="Q154" s="4" t="str">
        <f aca="false">IF(N154="UNMATCHED","Unmatched","Matched")</f>
        <v>Matched</v>
      </c>
      <c r="R154" s="4" t="str">
        <f aca="false">IF(OR(E154="No",G154="No",I154="No",L154="YES",Q154="Unmatched"),"NEEDS REVIEW","OK")</f>
        <v>OK</v>
      </c>
    </row>
    <row r="155" customFormat="false" ht="15" hidden="false" customHeight="false" outlineLevel="0" collapsed="false">
      <c r="A155" s="4" t="str">
        <f aca="false">Orders_Raw!A155</f>
        <v>ORD00323</v>
      </c>
      <c r="B155" s="4" t="str">
        <f aca="false">TRIM(UPPER(Orders_Raw!B155))</f>
        <v>CUST0009</v>
      </c>
      <c r="C155" s="4" t="str">
        <f aca="false">PROPER(TRIM(Orders_Raw!C155))</f>
        <v>Ngozi Sani</v>
      </c>
      <c r="D155" s="6" t="n">
        <f aca="false">IFERROR(DATEVALUE(Orders_Raw!D155),"")</f>
        <v>46050</v>
      </c>
      <c r="E155" s="4" t="str">
        <f aca="false">IF(D155="","No","Yes")</f>
        <v>Yes</v>
      </c>
      <c r="F155" s="4" t="n">
        <f aca="false">IFERROR(VALUE(SUBSTITUTE(SUBSTITUTE(SUBSTITUTE(Orders_Raw!G155,"$",""),"NGN",""),",","")),"")</f>
        <v>1532.97</v>
      </c>
      <c r="G155" s="4" t="str">
        <f aca="false">IF(F155="","No","Yes")</f>
        <v>Yes</v>
      </c>
      <c r="H155" s="4" t="str">
        <f aca="false">Orders_Raw!F155</f>
        <v>1</v>
      </c>
      <c r="I155" s="4" t="str">
        <f aca="false">IF(H155="","No",IF(H155&lt;=0,"No","Yes"))</f>
        <v>Yes</v>
      </c>
      <c r="J155" s="4" t="str">
        <f aca="false">Orders_Raw!E155</f>
        <v>Printer</v>
      </c>
      <c r="K155" s="4" t="str">
        <f aca="false">Orders_Raw!H155</f>
        <v>2026-01-28 11:45</v>
      </c>
      <c r="L155" s="4" t="str">
        <f aca="false">IF(COUNTIF(Orders_Raw!$A$5:$A$539,A155)&gt;1,"YES","No")</f>
        <v>No</v>
      </c>
      <c r="M155" s="4" t="str">
        <f aca="false">IF(COUNTIFS($B$5:$B$539,B155,$D$5:$D$539,D155,$F$5:$F$539,F155)&gt;1,"YES","No")</f>
        <v>No</v>
      </c>
      <c r="N155" s="4" t="str">
        <f aca="false">IFERROR(INDEX(Customer_Master!$B$5:$B$64,MATCH(B155,Customer_Master!$A$5:$A$64,0)),"UNMATCHED")</f>
        <v>Ngozi Sani</v>
      </c>
      <c r="O155" s="4" t="str">
        <f aca="false">IFERROR(INDEX(Customer_Master!$C$5:$C$64,MATCH(B155,Customer_Master!$A$5:$A$64,0)),"UNMATCHED")</f>
        <v>Loyal</v>
      </c>
      <c r="P155" s="4" t="str">
        <f aca="false">IFERROR(INDEX(Customer_Master!$D$5:$D$64,MATCH(B155,Customer_Master!$A$5:$A$64,0)),"UNMATCHED")</f>
        <v>Kano</v>
      </c>
      <c r="Q155" s="4" t="str">
        <f aca="false">IF(N155="UNMATCHED","Unmatched","Matched")</f>
        <v>Matched</v>
      </c>
      <c r="R155" s="4" t="str">
        <f aca="false">IF(OR(E155="No",G155="No",I155="No",L155="YES",Q155="Unmatched"),"NEEDS REVIEW","OK")</f>
        <v>OK</v>
      </c>
    </row>
    <row r="156" customFormat="false" ht="15" hidden="false" customHeight="false" outlineLevel="0" collapsed="false">
      <c r="A156" s="4" t="str">
        <f aca="false">Orders_Raw!A156</f>
        <v>ORD00426</v>
      </c>
      <c r="B156" s="4" t="str">
        <f aca="false">TRIM(UPPER(Orders_Raw!B156))</f>
        <v>CUST0003</v>
      </c>
      <c r="C156" s="4" t="str">
        <f aca="false">PROPER(TRIM(Orders_Raw!C156))</f>
        <v>Chidi Adamu</v>
      </c>
      <c r="D156" s="6" t="n">
        <f aca="false">IFERROR(DATEVALUE(Orders_Raw!D156),"")</f>
        <v>46027</v>
      </c>
      <c r="E156" s="4" t="str">
        <f aca="false">IF(D156="","No","Yes")</f>
        <v>Yes</v>
      </c>
      <c r="F156" s="4" t="n">
        <f aca="false">IFERROR(VALUE(SUBSTITUTE(SUBSTITUTE(SUBSTITUTE(Orders_Raw!G156,"$",""),"NGN",""),",","")),"")</f>
        <v>350.69</v>
      </c>
      <c r="G156" s="4" t="str">
        <f aca="false">IF(F156="","No","Yes")</f>
        <v>Yes</v>
      </c>
      <c r="H156" s="4" t="str">
        <f aca="false">Orders_Raw!F156</f>
        <v>1</v>
      </c>
      <c r="I156" s="4" t="str">
        <f aca="false">IF(H156="","No",IF(H156&lt;=0,"No","Yes"))</f>
        <v>Yes</v>
      </c>
      <c r="J156" s="4" t="str">
        <f aca="false">Orders_Raw!E156</f>
        <v>Keyboard</v>
      </c>
      <c r="K156" s="4" t="str">
        <f aca="false">Orders_Raw!H156</f>
        <v>2026-01-05 08:49</v>
      </c>
      <c r="L156" s="4" t="str">
        <f aca="false">IF(COUNTIF(Orders_Raw!$A$5:$A$539,A156)&gt;1,"YES","No")</f>
        <v>YES</v>
      </c>
      <c r="M156" s="4" t="str">
        <f aca="false">IF(COUNTIFS($B$5:$B$539,B156,$D$5:$D$539,D156,$F$5:$F$539,F156)&gt;1,"YES","No")</f>
        <v>YES</v>
      </c>
      <c r="N156" s="4" t="str">
        <f aca="false">IFERROR(INDEX(Customer_Master!$B$5:$B$64,MATCH(B156,Customer_Master!$A$5:$A$64,0)),"UNMATCHED")</f>
        <v>Chidi Adamu</v>
      </c>
      <c r="O156" s="4" t="str">
        <f aca="false">IFERROR(INDEX(Customer_Master!$C$5:$C$64,MATCH(B156,Customer_Master!$A$5:$A$64,0)),"UNMATCHED")</f>
        <v>Champions</v>
      </c>
      <c r="P156" s="4" t="str">
        <f aca="false">IFERROR(INDEX(Customer_Master!$D$5:$D$64,MATCH(B156,Customer_Master!$A$5:$A$64,0)),"UNMATCHED")</f>
        <v>Enugu</v>
      </c>
      <c r="Q156" s="4" t="str">
        <f aca="false">IF(N156="UNMATCHED","Unmatched","Matched")</f>
        <v>Matched</v>
      </c>
      <c r="R156" s="4" t="str">
        <f aca="false">IF(OR(E156="No",G156="No",I156="No",L156="YES",Q156="Unmatched"),"NEEDS REVIEW","OK")</f>
        <v>NEEDS REVIEW</v>
      </c>
    </row>
    <row r="157" customFormat="false" ht="15" hidden="false" customHeight="false" outlineLevel="0" collapsed="false">
      <c r="A157" s="4" t="str">
        <f aca="false">Orders_Raw!A157</f>
        <v>ORD00225</v>
      </c>
      <c r="B157" s="4" t="str">
        <f aca="false">TRIM(UPPER(Orders_Raw!B157))</f>
        <v>CUST0032</v>
      </c>
      <c r="C157" s="4" t="str">
        <f aca="false">PROPER(TRIM(Orders_Raw!C157))</f>
        <v>Ola Obi</v>
      </c>
      <c r="D157" s="6" t="n">
        <f aca="false">IFERROR(DATEVALUE(Orders_Raw!D157),"")</f>
        <v>46301</v>
      </c>
      <c r="E157" s="4" t="str">
        <f aca="false">IF(D157="","No","Yes")</f>
        <v>Yes</v>
      </c>
      <c r="F157" s="4" t="n">
        <f aca="false">IFERROR(VALUE(SUBSTITUTE(SUBSTITUTE(SUBSTITUTE(Orders_Raw!G157,"$",""),"NGN",""),",","")),"")</f>
        <v>947.3</v>
      </c>
      <c r="G157" s="4" t="str">
        <f aca="false">IF(F157="","No","Yes")</f>
        <v>Yes</v>
      </c>
      <c r="H157" s="4" t="str">
        <f aca="false">Orders_Raw!F157</f>
        <v>4</v>
      </c>
      <c r="I157" s="4" t="str">
        <f aca="false">IF(H157="","No",IF(H157&lt;=0,"No","Yes"))</f>
        <v>Yes</v>
      </c>
      <c r="J157" s="4" t="str">
        <f aca="false">Orders_Raw!E157</f>
        <v>Monitor</v>
      </c>
      <c r="K157" s="4" t="str">
        <f aca="false">Orders_Raw!H157</f>
        <v>2026-06-10 16:47</v>
      </c>
      <c r="L157" s="4" t="str">
        <f aca="false">IF(COUNTIF(Orders_Raw!$A$5:$A$539,A157)&gt;1,"YES","No")</f>
        <v>No</v>
      </c>
      <c r="M157" s="4" t="str">
        <f aca="false">IF(COUNTIFS($B$5:$B$539,B157,$D$5:$D$539,D157,$F$5:$F$539,F157)&gt;1,"YES","No")</f>
        <v>No</v>
      </c>
      <c r="N157" s="4" t="str">
        <f aca="false">IFERROR(INDEX(Customer_Master!$B$5:$B$64,MATCH(B157,Customer_Master!$A$5:$A$64,0)),"UNMATCHED")</f>
        <v>Ola Obi</v>
      </c>
      <c r="O157" s="4" t="str">
        <f aca="false">IFERROR(INDEX(Customer_Master!$C$5:$C$64,MATCH(B157,Customer_Master!$A$5:$A$64,0)),"UNMATCHED")</f>
        <v>Lost / Low-Value</v>
      </c>
      <c r="P157" s="4" t="str">
        <f aca="false">IFERROR(INDEX(Customer_Master!$D$5:$D$64,MATCH(B157,Customer_Master!$A$5:$A$64,0)),"UNMATCHED")</f>
        <v>Abuja</v>
      </c>
      <c r="Q157" s="4" t="str">
        <f aca="false">IF(N157="UNMATCHED","Unmatched","Matched")</f>
        <v>Matched</v>
      </c>
      <c r="R157" s="4" t="str">
        <f aca="false">IF(OR(E157="No",G157="No",I157="No",L157="YES",Q157="Unmatched"),"NEEDS REVIEW","OK")</f>
        <v>OK</v>
      </c>
    </row>
    <row r="158" customFormat="false" ht="15" hidden="false" customHeight="false" outlineLevel="0" collapsed="false">
      <c r="A158" s="4" t="str">
        <f aca="false">Orders_Raw!A158</f>
        <v>ORD00048</v>
      </c>
      <c r="B158" s="4" t="str">
        <f aca="false">TRIM(UPPER(Orders_Raw!B158))</f>
        <v>CUST0034</v>
      </c>
      <c r="C158" s="4" t="str">
        <f aca="false">PROPER(TRIM(Orders_Raw!C158))</f>
        <v>Samuel Sani</v>
      </c>
      <c r="D158" s="6" t="n">
        <f aca="false">IFERROR(DATEVALUE(Orders_Raw!D158),"")</f>
        <v>46099</v>
      </c>
      <c r="E158" s="4" t="str">
        <f aca="false">IF(D158="","No","Yes")</f>
        <v>Yes</v>
      </c>
      <c r="F158" s="4" t="n">
        <f aca="false">IFERROR(VALUE(SUBSTITUTE(SUBSTITUTE(SUBSTITUTE(Orders_Raw!G158,"$",""),"NGN",""),",","")),"")</f>
        <v>2475.23</v>
      </c>
      <c r="G158" s="4" t="str">
        <f aca="false">IF(F158="","No","Yes")</f>
        <v>Yes</v>
      </c>
      <c r="H158" s="4" t="str">
        <f aca="false">Orders_Raw!F158</f>
        <v>3</v>
      </c>
      <c r="I158" s="4" t="str">
        <f aca="false">IF(H158="","No",IF(H158&lt;=0,"No","Yes"))</f>
        <v>Yes</v>
      </c>
      <c r="J158" s="4" t="str">
        <f aca="false">Orders_Raw!E158</f>
        <v>Phone</v>
      </c>
      <c r="K158" s="4" t="str">
        <f aca="false">Orders_Raw!H158</f>
        <v>2026-03-18 11:40</v>
      </c>
      <c r="L158" s="4" t="str">
        <f aca="false">IF(COUNTIF(Orders_Raw!$A$5:$A$539,A158)&gt;1,"YES","No")</f>
        <v>No</v>
      </c>
      <c r="M158" s="4" t="str">
        <f aca="false">IF(COUNTIFS($B$5:$B$539,B158,$D$5:$D$539,D158,$F$5:$F$539,F158)&gt;1,"YES","No")</f>
        <v>No</v>
      </c>
      <c r="N158" s="4" t="str">
        <f aca="false">IFERROR(INDEX(Customer_Master!$B$5:$B$64,MATCH(B158,Customer_Master!$A$5:$A$64,0)),"UNMATCHED")</f>
        <v>Samuel Sani</v>
      </c>
      <c r="O158" s="4" t="str">
        <f aca="false">IFERROR(INDEX(Customer_Master!$C$5:$C$64,MATCH(B158,Customer_Master!$A$5:$A$64,0)),"UNMATCHED")</f>
        <v>New</v>
      </c>
      <c r="P158" s="4" t="str">
        <f aca="false">IFERROR(INDEX(Customer_Master!$D$5:$D$64,MATCH(B158,Customer_Master!$A$5:$A$64,0)),"UNMATCHED")</f>
        <v>Lagos</v>
      </c>
      <c r="Q158" s="4" t="str">
        <f aca="false">IF(N158="UNMATCHED","Unmatched","Matched")</f>
        <v>Matched</v>
      </c>
      <c r="R158" s="4" t="str">
        <f aca="false">IF(OR(E158="No",G158="No",I158="No",L158="YES",Q158="Unmatched"),"NEEDS REVIEW","OK")</f>
        <v>OK</v>
      </c>
    </row>
    <row r="159" customFormat="false" ht="15" hidden="false" customHeight="false" outlineLevel="0" collapsed="false">
      <c r="A159" s="4" t="str">
        <f aca="false">Orders_Raw!A159</f>
        <v>ORD00335</v>
      </c>
      <c r="B159" s="4" t="str">
        <f aca="false">TRIM(UPPER(Orders_Raw!B159))</f>
        <v>CUST0045</v>
      </c>
      <c r="C159" s="4" t="str">
        <f aca="false">PROPER(TRIM(Orders_Raw!C159))</f>
        <v>Emeka Yakubu</v>
      </c>
      <c r="D159" s="6" t="str">
        <f aca="false">IFERROR(DATEVALUE(Orders_Raw!D159),"")</f>
        <v/>
      </c>
      <c r="E159" s="4" t="str">
        <f aca="false">IF(D159="","No","Yes")</f>
        <v>No</v>
      </c>
      <c r="F159" s="4" t="n">
        <f aca="false">IFERROR(VALUE(SUBSTITUTE(SUBSTITUTE(SUBSTITUTE(Orders_Raw!G159,"$",""),"NGN",""),",","")),"")</f>
        <v>115.98</v>
      </c>
      <c r="G159" s="4" t="str">
        <f aca="false">IF(F159="","No","Yes")</f>
        <v>Yes</v>
      </c>
      <c r="H159" s="4" t="str">
        <f aca="false">Orders_Raw!F159</f>
        <v>3</v>
      </c>
      <c r="I159" s="4" t="str">
        <f aca="false">IF(H159="","No",IF(H159&lt;=0,"No","Yes"))</f>
        <v>Yes</v>
      </c>
      <c r="J159" s="4" t="str">
        <f aca="false">Orders_Raw!E159</f>
        <v>Mouse</v>
      </c>
      <c r="K159" s="4" t="str">
        <f aca="false">Orders_Raw!H159</f>
        <v>2026-01-31 08:21</v>
      </c>
      <c r="L159" s="4" t="str">
        <f aca="false">IF(COUNTIF(Orders_Raw!$A$5:$A$539,A159)&gt;1,"YES","No")</f>
        <v>No</v>
      </c>
      <c r="M159" s="4" t="str">
        <f aca="false">IF(COUNTIFS($B$5:$B$539,B159,$D$5:$D$539,D159,$F$5:$F$539,F159)&gt;1,"YES","No")</f>
        <v>No</v>
      </c>
      <c r="N159" s="4" t="str">
        <f aca="false">IFERROR(INDEX(Customer_Master!$B$5:$B$64,MATCH(B159,Customer_Master!$A$5:$A$64,0)),"UNMATCHED")</f>
        <v>Yusuf Yakubu</v>
      </c>
      <c r="O159" s="4" t="str">
        <f aca="false">IFERROR(INDEX(Customer_Master!$C$5:$C$64,MATCH(B159,Customer_Master!$A$5:$A$64,0)),"UNMATCHED")</f>
        <v>New</v>
      </c>
      <c r="P159" s="4" t="str">
        <f aca="false">IFERROR(INDEX(Customer_Master!$D$5:$D$64,MATCH(B159,Customer_Master!$A$5:$A$64,0)),"UNMATCHED")</f>
        <v>Port Harcourt</v>
      </c>
      <c r="Q159" s="4" t="str">
        <f aca="false">IF(N159="UNMATCHED","Unmatched","Matched")</f>
        <v>Matched</v>
      </c>
      <c r="R159" s="4" t="str">
        <f aca="false">IF(OR(E159="No",G159="No",I159="No",L159="YES",Q159="Unmatched"),"NEEDS REVIEW","OK")</f>
        <v>NEEDS REVIEW</v>
      </c>
    </row>
    <row r="160" customFormat="false" ht="15" hidden="false" customHeight="false" outlineLevel="0" collapsed="false">
      <c r="A160" s="4" t="str">
        <f aca="false">Orders_Raw!A160</f>
        <v>ORD00182</v>
      </c>
      <c r="B160" s="4" t="str">
        <f aca="false">TRIM(UPPER(Orders_Raw!B160))</f>
        <v>CUST0039</v>
      </c>
      <c r="C160" s="4" t="str">
        <f aca="false">PROPER(TRIM(Orders_Raw!C160))</f>
        <v>Samuel Lawal</v>
      </c>
      <c r="D160" s="6" t="n">
        <f aca="false">IFERROR(DATEVALUE(Orders_Raw!D160),"")</f>
        <v>46084</v>
      </c>
      <c r="E160" s="4" t="str">
        <f aca="false">IF(D160="","No","Yes")</f>
        <v>Yes</v>
      </c>
      <c r="F160" s="4" t="n">
        <f aca="false">IFERROR(VALUE(SUBSTITUTE(SUBSTITUTE(SUBSTITUTE(Orders_Raw!G160,"$",""),"NGN",""),",","")),"")</f>
        <v>814.21</v>
      </c>
      <c r="G160" s="4" t="str">
        <f aca="false">IF(F160="","No","Yes")</f>
        <v>Yes</v>
      </c>
      <c r="H160" s="4" t="str">
        <f aca="false">Orders_Raw!F160</f>
        <v>2</v>
      </c>
      <c r="I160" s="4" t="str">
        <f aca="false">IF(H160="","No",IF(H160&lt;=0,"No","Yes"))</f>
        <v>Yes</v>
      </c>
      <c r="J160" s="4" t="str">
        <f aca="false">Orders_Raw!E160</f>
        <v>Mouse</v>
      </c>
      <c r="K160" s="4" t="str">
        <f aca="false">Orders_Raw!H160</f>
        <v>2026-03-03 12:23</v>
      </c>
      <c r="L160" s="4" t="str">
        <f aca="false">IF(COUNTIF(Orders_Raw!$A$5:$A$539,A160)&gt;1,"YES","No")</f>
        <v>No</v>
      </c>
      <c r="M160" s="4" t="str">
        <f aca="false">IF(COUNTIFS($B$5:$B$539,B160,$D$5:$D$539,D160,$F$5:$F$539,F160)&gt;1,"YES","No")</f>
        <v>No</v>
      </c>
      <c r="N160" s="4" t="str">
        <f aca="false">IFERROR(INDEX(Customer_Master!$B$5:$B$64,MATCH(B160,Customer_Master!$A$5:$A$64,0)),"UNMATCHED")</f>
        <v>Samuel Lawal</v>
      </c>
      <c r="O160" s="4" t="str">
        <f aca="false">IFERROR(INDEX(Customer_Master!$C$5:$C$64,MATCH(B160,Customer_Master!$A$5:$A$64,0)),"UNMATCHED")</f>
        <v>At Risk</v>
      </c>
      <c r="P160" s="4" t="str">
        <f aca="false">IFERROR(INDEX(Customer_Master!$D$5:$D$64,MATCH(B160,Customer_Master!$A$5:$A$64,0)),"UNMATCHED")</f>
        <v>Kano</v>
      </c>
      <c r="Q160" s="4" t="str">
        <f aca="false">IF(N160="UNMATCHED","Unmatched","Matched")</f>
        <v>Matched</v>
      </c>
      <c r="R160" s="4" t="str">
        <f aca="false">IF(OR(E160="No",G160="No",I160="No",L160="YES",Q160="Unmatched"),"NEEDS REVIEW","OK")</f>
        <v>OK</v>
      </c>
    </row>
    <row r="161" customFormat="false" ht="15" hidden="false" customHeight="false" outlineLevel="0" collapsed="false">
      <c r="A161" s="4" t="str">
        <f aca="false">Orders_Raw!A161</f>
        <v>ORD00418</v>
      </c>
      <c r="B161" s="4" t="str">
        <f aca="false">TRIM(UPPER(Orders_Raw!B161))</f>
        <v>CUST0032</v>
      </c>
      <c r="C161" s="4" t="str">
        <f aca="false">PROPER(TRIM(Orders_Raw!C161))</f>
        <v>Ola Obi</v>
      </c>
      <c r="D161" s="6" t="n">
        <f aca="false">IFERROR(DATEVALUE(Orders_Raw!D161),"")</f>
        <v>46179</v>
      </c>
      <c r="E161" s="4" t="str">
        <f aca="false">IF(D161="","No","Yes")</f>
        <v>Yes</v>
      </c>
      <c r="F161" s="4" t="n">
        <f aca="false">IFERROR(VALUE(SUBSTITUTE(SUBSTITUTE(SUBSTITUTE(Orders_Raw!G161,"$",""),"NGN",""),",","")),"")</f>
        <v>816.66</v>
      </c>
      <c r="G161" s="4" t="str">
        <f aca="false">IF(F161="","No","Yes")</f>
        <v>Yes</v>
      </c>
      <c r="H161" s="4" t="str">
        <f aca="false">Orders_Raw!F161</f>
        <v>1</v>
      </c>
      <c r="I161" s="4" t="str">
        <f aca="false">IF(H161="","No",IF(H161&lt;=0,"No","Yes"))</f>
        <v>Yes</v>
      </c>
      <c r="J161" s="4" t="str">
        <f aca="false">Orders_Raw!E161</f>
        <v>Laptop</v>
      </c>
      <c r="K161" s="4" t="str">
        <f aca="false">Orders_Raw!H161</f>
        <v>2026-06-06 10:11</v>
      </c>
      <c r="L161" s="4" t="str">
        <f aca="false">IF(COUNTIF(Orders_Raw!$A$5:$A$539,A161)&gt;1,"YES","No")</f>
        <v>No</v>
      </c>
      <c r="M161" s="4" t="str">
        <f aca="false">IF(COUNTIFS($B$5:$B$539,B161,$D$5:$D$539,D161,$F$5:$F$539,F161)&gt;1,"YES","No")</f>
        <v>No</v>
      </c>
      <c r="N161" s="4" t="str">
        <f aca="false">IFERROR(INDEX(Customer_Master!$B$5:$B$64,MATCH(B161,Customer_Master!$A$5:$A$64,0)),"UNMATCHED")</f>
        <v>Ola Obi</v>
      </c>
      <c r="O161" s="4" t="str">
        <f aca="false">IFERROR(INDEX(Customer_Master!$C$5:$C$64,MATCH(B161,Customer_Master!$A$5:$A$64,0)),"UNMATCHED")</f>
        <v>Lost / Low-Value</v>
      </c>
      <c r="P161" s="4" t="str">
        <f aca="false">IFERROR(INDEX(Customer_Master!$D$5:$D$64,MATCH(B161,Customer_Master!$A$5:$A$64,0)),"UNMATCHED")</f>
        <v>Abuja</v>
      </c>
      <c r="Q161" s="4" t="str">
        <f aca="false">IF(N161="UNMATCHED","Unmatched","Matched")</f>
        <v>Matched</v>
      </c>
      <c r="R161" s="4" t="str">
        <f aca="false">IF(OR(E161="No",G161="No",I161="No",L161="YES",Q161="Unmatched"),"NEEDS REVIEW","OK")</f>
        <v>OK</v>
      </c>
    </row>
    <row r="162" customFormat="false" ht="15" hidden="false" customHeight="false" outlineLevel="0" collapsed="false">
      <c r="A162" s="4" t="str">
        <f aca="false">Orders_Raw!A162</f>
        <v>ORD00265</v>
      </c>
      <c r="B162" s="4" t="str">
        <f aca="false">TRIM(UPPER(Orders_Raw!B162))</f>
        <v>CUST0009</v>
      </c>
      <c r="C162" s="4" t="str">
        <f aca="false">PROPER(TRIM(Orders_Raw!C162))</f>
        <v>Ngozi Sani</v>
      </c>
      <c r="D162" s="6" t="str">
        <f aca="false">IFERROR(DATEVALUE(Orders_Raw!D162),"")</f>
        <v/>
      </c>
      <c r="E162" s="4" t="str">
        <f aca="false">IF(D162="","No","Yes")</f>
        <v>No</v>
      </c>
      <c r="F162" s="4" t="n">
        <f aca="false">IFERROR(VALUE(SUBSTITUTE(SUBSTITUTE(SUBSTITUTE(Orders_Raw!G162,"$",""),"NGN",""),",","")),"")</f>
        <v>69.45</v>
      </c>
      <c r="G162" s="4" t="str">
        <f aca="false">IF(F162="","No","Yes")</f>
        <v>Yes</v>
      </c>
      <c r="H162" s="4" t="str">
        <f aca="false">Orders_Raw!F162</f>
        <v>4</v>
      </c>
      <c r="I162" s="4" t="str">
        <f aca="false">IF(H162="","No",IF(H162&lt;=0,"No","Yes"))</f>
        <v>Yes</v>
      </c>
      <c r="J162" s="4" t="str">
        <f aca="false">Orders_Raw!E162</f>
        <v>Tablet</v>
      </c>
      <c r="K162" s="4" t="str">
        <f aca="false">Orders_Raw!H162</f>
        <v>2026-03-24 13:04</v>
      </c>
      <c r="L162" s="4" t="str">
        <f aca="false">IF(COUNTIF(Orders_Raw!$A$5:$A$539,A162)&gt;1,"YES","No")</f>
        <v>No</v>
      </c>
      <c r="M162" s="4" t="str">
        <f aca="false">IF(COUNTIFS($B$5:$B$539,B162,$D$5:$D$539,D162,$F$5:$F$539,F162)&gt;1,"YES","No")</f>
        <v>No</v>
      </c>
      <c r="N162" s="4" t="str">
        <f aca="false">IFERROR(INDEX(Customer_Master!$B$5:$B$64,MATCH(B162,Customer_Master!$A$5:$A$64,0)),"UNMATCHED")</f>
        <v>Ngozi Sani</v>
      </c>
      <c r="O162" s="4" t="str">
        <f aca="false">IFERROR(INDEX(Customer_Master!$C$5:$C$64,MATCH(B162,Customer_Master!$A$5:$A$64,0)),"UNMATCHED")</f>
        <v>Loyal</v>
      </c>
      <c r="P162" s="4" t="str">
        <f aca="false">IFERROR(INDEX(Customer_Master!$D$5:$D$64,MATCH(B162,Customer_Master!$A$5:$A$64,0)),"UNMATCHED")</f>
        <v>Kano</v>
      </c>
      <c r="Q162" s="4" t="str">
        <f aca="false">IF(N162="UNMATCHED","Unmatched","Matched")</f>
        <v>Matched</v>
      </c>
      <c r="R162" s="4" t="str">
        <f aca="false">IF(OR(E162="No",G162="No",I162="No",L162="YES",Q162="Unmatched"),"NEEDS REVIEW","OK")</f>
        <v>NEEDS REVIEW</v>
      </c>
    </row>
    <row r="163" customFormat="false" ht="15" hidden="false" customHeight="false" outlineLevel="0" collapsed="false">
      <c r="A163" s="4" t="str">
        <f aca="false">Orders_Raw!A163</f>
        <v>ORD00148</v>
      </c>
      <c r="B163" s="4" t="str">
        <f aca="false">TRIM(UPPER(Orders_Raw!B163))</f>
        <v>CUST0060</v>
      </c>
      <c r="C163" s="4" t="str">
        <f aca="false">PROPER(TRIM(Orders_Raw!C163))</f>
        <v>James Umeh</v>
      </c>
      <c r="D163" s="6" t="n">
        <f aca="false">IFERROR(DATEVALUE(Orders_Raw!D163),"")</f>
        <v>46123</v>
      </c>
      <c r="E163" s="4" t="str">
        <f aca="false">IF(D163="","No","Yes")</f>
        <v>Yes</v>
      </c>
      <c r="F163" s="4" t="n">
        <f aca="false">IFERROR(VALUE(SUBSTITUTE(SUBSTITUTE(SUBSTITUTE(Orders_Raw!G163,"$",""),"NGN",""),",","")),"")</f>
        <v>1852.21</v>
      </c>
      <c r="G163" s="4" t="str">
        <f aca="false">IF(F163="","No","Yes")</f>
        <v>Yes</v>
      </c>
      <c r="H163" s="4" t="str">
        <f aca="false">Orders_Raw!F163</f>
        <v>3</v>
      </c>
      <c r="I163" s="4" t="str">
        <f aca="false">IF(H163="","No",IF(H163&lt;=0,"No","Yes"))</f>
        <v>Yes</v>
      </c>
      <c r="J163" s="4" t="str">
        <f aca="false">Orders_Raw!E163</f>
        <v>Tablet</v>
      </c>
      <c r="K163" s="4" t="str">
        <f aca="false">Orders_Raw!H163</f>
        <v>2026-04-11 15:45</v>
      </c>
      <c r="L163" s="4" t="str">
        <f aca="false">IF(COUNTIF(Orders_Raw!$A$5:$A$539,A163)&gt;1,"YES","No")</f>
        <v>No</v>
      </c>
      <c r="M163" s="4" t="str">
        <f aca="false">IF(COUNTIFS($B$5:$B$539,B163,$D$5:$D$539,D163,$F$5:$F$539,F163)&gt;1,"YES","No")</f>
        <v>No</v>
      </c>
      <c r="N163" s="4" t="str">
        <f aca="false">IFERROR(INDEX(Customer_Master!$B$5:$B$64,MATCH(B163,Customer_Master!$A$5:$A$64,0)),"UNMATCHED")</f>
        <v>James Umeh</v>
      </c>
      <c r="O163" s="4" t="str">
        <f aca="false">IFERROR(INDEX(Customer_Master!$C$5:$C$64,MATCH(B163,Customer_Master!$A$5:$A$64,0)),"UNMATCHED")</f>
        <v>Champions</v>
      </c>
      <c r="P163" s="4" t="str">
        <f aca="false">IFERROR(INDEX(Customer_Master!$D$5:$D$64,MATCH(B163,Customer_Master!$A$5:$A$64,0)),"UNMATCHED")</f>
        <v>Kano</v>
      </c>
      <c r="Q163" s="4" t="str">
        <f aca="false">IF(N163="UNMATCHED","Unmatched","Matched")</f>
        <v>Matched</v>
      </c>
      <c r="R163" s="4" t="str">
        <f aca="false">IF(OR(E163="No",G163="No",I163="No",L163="YES",Q163="Unmatched"),"NEEDS REVIEW","OK")</f>
        <v>OK</v>
      </c>
    </row>
    <row r="164" customFormat="false" ht="15" hidden="false" customHeight="false" outlineLevel="0" collapsed="false">
      <c r="A164" s="4" t="str">
        <f aca="false">Orders_Raw!A164</f>
        <v>ORD00464</v>
      </c>
      <c r="B164" s="4" t="str">
        <f aca="false">TRIM(UPPER(Orders_Raw!B164))</f>
        <v>CUST0027</v>
      </c>
      <c r="C164" s="4" t="str">
        <f aca="false">PROPER(TRIM(Orders_Raw!C164))</f>
        <v>Yusuf Sani</v>
      </c>
      <c r="D164" s="6" t="n">
        <f aca="false">IFERROR(DATEVALUE(Orders_Raw!D164),"")</f>
        <v>46179</v>
      </c>
      <c r="E164" s="4" t="str">
        <f aca="false">IF(D164="","No","Yes")</f>
        <v>Yes</v>
      </c>
      <c r="F164" s="4" t="n">
        <f aca="false">IFERROR(VALUE(SUBSTITUTE(SUBSTITUTE(SUBSTITUTE(Orders_Raw!G164,"$",""),"NGN",""),",","")),"")</f>
        <v>286.62</v>
      </c>
      <c r="G164" s="4" t="str">
        <f aca="false">IF(F164="","No","Yes")</f>
        <v>Yes</v>
      </c>
      <c r="H164" s="4" t="str">
        <f aca="false">Orders_Raw!F164</f>
        <v>1</v>
      </c>
      <c r="I164" s="4" t="str">
        <f aca="false">IF(H164="","No",IF(H164&lt;=0,"No","Yes"))</f>
        <v>Yes</v>
      </c>
      <c r="J164" s="4" t="str">
        <f aca="false">Orders_Raw!E164</f>
        <v>Mouse</v>
      </c>
      <c r="K164" s="4" t="str">
        <f aca="false">Orders_Raw!H164</f>
        <v>2026-06-06 14:38</v>
      </c>
      <c r="L164" s="4" t="str">
        <f aca="false">IF(COUNTIF(Orders_Raw!$A$5:$A$539,A164)&gt;1,"YES","No")</f>
        <v>No</v>
      </c>
      <c r="M164" s="4" t="str">
        <f aca="false">IF(COUNTIFS($B$5:$B$539,B164,$D$5:$D$539,D164,$F$5:$F$539,F164)&gt;1,"YES","No")</f>
        <v>No</v>
      </c>
      <c r="N164" s="4" t="str">
        <f aca="false">IFERROR(INDEX(Customer_Master!$B$5:$B$64,MATCH(B164,Customer_Master!$A$5:$A$64,0)),"UNMATCHED")</f>
        <v>Yusuf Sani</v>
      </c>
      <c r="O164" s="4" t="str">
        <f aca="false">IFERROR(INDEX(Customer_Master!$C$5:$C$64,MATCH(B164,Customer_Master!$A$5:$A$64,0)),"UNMATCHED")</f>
        <v>Loyal</v>
      </c>
      <c r="P164" s="4" t="str">
        <f aca="false">IFERROR(INDEX(Customer_Master!$D$5:$D$64,MATCH(B164,Customer_Master!$A$5:$A$64,0)),"UNMATCHED")</f>
        <v>Kano</v>
      </c>
      <c r="Q164" s="4" t="str">
        <f aca="false">IF(N164="UNMATCHED","Unmatched","Matched")</f>
        <v>Matched</v>
      </c>
      <c r="R164" s="4" t="str">
        <f aca="false">IF(OR(E164="No",G164="No",I164="No",L164="YES",Q164="Unmatched"),"NEEDS REVIEW","OK")</f>
        <v>OK</v>
      </c>
    </row>
    <row r="165" customFormat="false" ht="15" hidden="false" customHeight="false" outlineLevel="0" collapsed="false">
      <c r="A165" s="4" t="str">
        <f aca="false">Orders_Raw!A165</f>
        <v>ORD00011</v>
      </c>
      <c r="B165" s="4" t="str">
        <f aca="false">TRIM(UPPER(Orders_Raw!B165))</f>
        <v>CUST0022</v>
      </c>
      <c r="C165" s="4" t="str">
        <f aca="false">PROPER(TRIM(Orders_Raw!C165))</f>
        <v>Musa Sani</v>
      </c>
      <c r="D165" s="6" t="n">
        <f aca="false">IFERROR(DATEVALUE(Orders_Raw!D165),"")</f>
        <v>46328</v>
      </c>
      <c r="E165" s="4" t="str">
        <f aca="false">IF(D165="","No","Yes")</f>
        <v>Yes</v>
      </c>
      <c r="F165" s="4" t="n">
        <f aca="false">IFERROR(VALUE(SUBSTITUTE(SUBSTITUTE(SUBSTITUTE(Orders_Raw!G165,"$",""),"NGN",""),",","")),"")</f>
        <v>1385.93</v>
      </c>
      <c r="G165" s="4" t="str">
        <f aca="false">IF(F165="","No","Yes")</f>
        <v>Yes</v>
      </c>
      <c r="H165" s="4" t="n">
        <f aca="false">Orders_Raw!F165</f>
        <v>0</v>
      </c>
      <c r="I165" s="4" t="str">
        <f aca="false">IF(H165="","No",IF(H165&lt;=0,"No","Yes"))</f>
        <v>No</v>
      </c>
      <c r="J165" s="4" t="str">
        <f aca="false">Orders_Raw!E165</f>
        <v>Phone</v>
      </c>
      <c r="K165" s="4" t="str">
        <f aca="false">Orders_Raw!H165</f>
        <v>2026-02-11 10:34</v>
      </c>
      <c r="L165" s="4" t="str">
        <f aca="false">IF(COUNTIF(Orders_Raw!$A$5:$A$539,A165)&gt;1,"YES","No")</f>
        <v>No</v>
      </c>
      <c r="M165" s="4" t="str">
        <f aca="false">IF(COUNTIFS($B$5:$B$539,B165,$D$5:$D$539,D165,$F$5:$F$539,F165)&gt;1,"YES","No")</f>
        <v>No</v>
      </c>
      <c r="N165" s="4" t="str">
        <f aca="false">IFERROR(INDEX(Customer_Master!$B$5:$B$64,MATCH(B165,Customer_Master!$A$5:$A$64,0)),"UNMATCHED")</f>
        <v>Musa Sani</v>
      </c>
      <c r="O165" s="4" t="str">
        <f aca="false">IFERROR(INDEX(Customer_Master!$C$5:$C$64,MATCH(B165,Customer_Master!$A$5:$A$64,0)),"UNMATCHED")</f>
        <v>New</v>
      </c>
      <c r="P165" s="4" t="str">
        <f aca="false">IFERROR(INDEX(Customer_Master!$D$5:$D$64,MATCH(B165,Customer_Master!$A$5:$A$64,0)),"UNMATCHED")</f>
        <v>Kano</v>
      </c>
      <c r="Q165" s="4" t="str">
        <f aca="false">IF(N165="UNMATCHED","Unmatched","Matched")</f>
        <v>Matched</v>
      </c>
      <c r="R165" s="4" t="str">
        <f aca="false">IF(OR(E165="No",G165="No",I165="No",L165="YES",Q165="Unmatched"),"NEEDS REVIEW","OK")</f>
        <v>NEEDS REVIEW</v>
      </c>
    </row>
    <row r="166" customFormat="false" ht="15" hidden="false" customHeight="false" outlineLevel="0" collapsed="false">
      <c r="A166" s="4" t="str">
        <f aca="false">Orders_Raw!A166</f>
        <v>ORD00030</v>
      </c>
      <c r="B166" s="4" t="str">
        <f aca="false">TRIM(UPPER(Orders_Raw!B166))</f>
        <v>CUST0020</v>
      </c>
      <c r="C166" s="4" t="str">
        <f aca="false">PROPER(TRIM(Orders_Raw!C166))</f>
        <v>Mary Okafor</v>
      </c>
      <c r="D166" s="6" t="n">
        <f aca="false">IFERROR(DATEVALUE(Orders_Raw!D166),"")</f>
        <v>46160</v>
      </c>
      <c r="E166" s="4" t="str">
        <f aca="false">IF(D166="","No","Yes")</f>
        <v>Yes</v>
      </c>
      <c r="F166" s="4" t="n">
        <f aca="false">IFERROR(VALUE(SUBSTITUTE(SUBSTITUTE(SUBSTITUTE(Orders_Raw!G166,"$",""),"NGN",""),",","")),"")</f>
        <v>2002.67</v>
      </c>
      <c r="G166" s="4" t="str">
        <f aca="false">IF(F166="","No","Yes")</f>
        <v>Yes</v>
      </c>
      <c r="H166" s="4" t="str">
        <f aca="false">Orders_Raw!F166</f>
        <v>2</v>
      </c>
      <c r="I166" s="4" t="str">
        <f aca="false">IF(H166="","No",IF(H166&lt;=0,"No","Yes"))</f>
        <v>Yes</v>
      </c>
      <c r="J166" s="4" t="str">
        <f aca="false">Orders_Raw!E166</f>
        <v>Laptop</v>
      </c>
      <c r="K166" s="4" t="str">
        <f aca="false">Orders_Raw!H166</f>
        <v>2026-05-18 14:21</v>
      </c>
      <c r="L166" s="4" t="str">
        <f aca="false">IF(COUNTIF(Orders_Raw!$A$5:$A$539,A166)&gt;1,"YES","No")</f>
        <v>No</v>
      </c>
      <c r="M166" s="4" t="str">
        <f aca="false">IF(COUNTIFS($B$5:$B$539,B166,$D$5:$D$539,D166,$F$5:$F$539,F166)&gt;1,"YES","No")</f>
        <v>No</v>
      </c>
      <c r="N166" s="4" t="str">
        <f aca="false">IFERROR(INDEX(Customer_Master!$B$5:$B$64,MATCH(B166,Customer_Master!$A$5:$A$64,0)),"UNMATCHED")</f>
        <v>Mary Okafor</v>
      </c>
      <c r="O166" s="4" t="str">
        <f aca="false">IFERROR(INDEX(Customer_Master!$C$5:$C$64,MATCH(B166,Customer_Master!$A$5:$A$64,0)),"UNMATCHED")</f>
        <v>New</v>
      </c>
      <c r="P166" s="4" t="str">
        <f aca="false">IFERROR(INDEX(Customer_Master!$D$5:$D$64,MATCH(B166,Customer_Master!$A$5:$A$64,0)),"UNMATCHED")</f>
        <v>Port Harcourt</v>
      </c>
      <c r="Q166" s="4" t="str">
        <f aca="false">IF(N166="UNMATCHED","Unmatched","Matched")</f>
        <v>Matched</v>
      </c>
      <c r="R166" s="4" t="str">
        <f aca="false">IF(OR(E166="No",G166="No",I166="No",L166="YES",Q166="Unmatched"),"NEEDS REVIEW","OK")</f>
        <v>OK</v>
      </c>
    </row>
    <row r="167" customFormat="false" ht="15" hidden="false" customHeight="false" outlineLevel="0" collapsed="false">
      <c r="A167" s="4" t="str">
        <f aca="false">Orders_Raw!A167</f>
        <v>ORD00491</v>
      </c>
      <c r="B167" s="4" t="str">
        <f aca="false">TRIM(UPPER(Orders_Raw!B167))</f>
        <v>CUST0025</v>
      </c>
      <c r="C167" s="4" t="str">
        <f aca="false">PROPER(TRIM(Orders_Raw!C167))</f>
        <v>Fatima Okafor</v>
      </c>
      <c r="D167" s="6" t="n">
        <f aca="false">IFERROR(DATEVALUE(Orders_Raw!D167),"")</f>
        <v>46129</v>
      </c>
      <c r="E167" s="4" t="str">
        <f aca="false">IF(D167="","No","Yes")</f>
        <v>Yes</v>
      </c>
      <c r="F167" s="4" t="n">
        <f aca="false">IFERROR(VALUE(SUBSTITUTE(SUBSTITUTE(SUBSTITUTE(Orders_Raw!G167,"$",""),"NGN",""),",","")),"")</f>
        <v>731.85</v>
      </c>
      <c r="G167" s="4" t="str">
        <f aca="false">IF(F167="","No","Yes")</f>
        <v>Yes</v>
      </c>
      <c r="H167" s="4" t="n">
        <f aca="false">Orders_Raw!F167</f>
        <v>0</v>
      </c>
      <c r="I167" s="4" t="str">
        <f aca="false">IF(H167="","No",IF(H167&lt;=0,"No","Yes"))</f>
        <v>No</v>
      </c>
      <c r="J167" s="4" t="str">
        <f aca="false">Orders_Raw!E167</f>
        <v>Laptop</v>
      </c>
      <c r="K167" s="4" t="str">
        <f aca="false">Orders_Raw!H167</f>
        <v>2026-04-17 10:46</v>
      </c>
      <c r="L167" s="4" t="str">
        <f aca="false">IF(COUNTIF(Orders_Raw!$A$5:$A$539,A167)&gt;1,"YES","No")</f>
        <v>No</v>
      </c>
      <c r="M167" s="4" t="str">
        <f aca="false">IF(COUNTIFS($B$5:$B$539,B167,$D$5:$D$539,D167,$F$5:$F$539,F167)&gt;1,"YES","No")</f>
        <v>No</v>
      </c>
      <c r="N167" s="4" t="str">
        <f aca="false">IFERROR(INDEX(Customer_Master!$B$5:$B$64,MATCH(B167,Customer_Master!$A$5:$A$64,0)),"UNMATCHED")</f>
        <v>Fatima Okafor</v>
      </c>
      <c r="O167" s="4" t="str">
        <f aca="false">IFERROR(INDEX(Customer_Master!$C$5:$C$64,MATCH(B167,Customer_Master!$A$5:$A$64,0)),"UNMATCHED")</f>
        <v>Loyal</v>
      </c>
      <c r="P167" s="4" t="str">
        <f aca="false">IFERROR(INDEX(Customer_Master!$D$5:$D$64,MATCH(B167,Customer_Master!$A$5:$A$64,0)),"UNMATCHED")</f>
        <v>Jos</v>
      </c>
      <c r="Q167" s="4" t="str">
        <f aca="false">IF(N167="UNMATCHED","Unmatched","Matched")</f>
        <v>Matched</v>
      </c>
      <c r="R167" s="4" t="str">
        <f aca="false">IF(OR(E167="No",G167="No",I167="No",L167="YES",Q167="Unmatched"),"NEEDS REVIEW","OK")</f>
        <v>NEEDS REVIEW</v>
      </c>
    </row>
    <row r="168" customFormat="false" ht="15" hidden="false" customHeight="false" outlineLevel="0" collapsed="false">
      <c r="A168" s="4" t="str">
        <f aca="false">Orders_Raw!A168</f>
        <v>ORD00170</v>
      </c>
      <c r="B168" s="4" t="str">
        <f aca="false">TRIM(UPPER(Orders_Raw!B168))</f>
        <v>CUST0054</v>
      </c>
      <c r="C168" s="4" t="str">
        <f aca="false">PROPER(TRIM(Orders_Raw!C168))</f>
        <v>Comfort Adeyemi</v>
      </c>
      <c r="D168" s="6" t="str">
        <f aca="false">IFERROR(DATEVALUE(Orders_Raw!D168),"")</f>
        <v/>
      </c>
      <c r="E168" s="4" t="str">
        <f aca="false">IF(D168="","No","Yes")</f>
        <v>No</v>
      </c>
      <c r="F168" s="4" t="n">
        <f aca="false">IFERROR(VALUE(SUBSTITUTE(SUBSTITUTE(SUBSTITUTE(Orders_Raw!G168,"$",""),"NGN",""),",","")),"")</f>
        <v>1067.89</v>
      </c>
      <c r="G168" s="4" t="str">
        <f aca="false">IF(F168="","No","Yes")</f>
        <v>Yes</v>
      </c>
      <c r="H168" s="4" t="str">
        <f aca="false">Orders_Raw!F168</f>
        <v>3</v>
      </c>
      <c r="I168" s="4" t="str">
        <f aca="false">IF(H168="","No",IF(H168&lt;=0,"No","Yes"))</f>
        <v>Yes</v>
      </c>
      <c r="J168" s="4" t="str">
        <f aca="false">Orders_Raw!E168</f>
        <v>Phone</v>
      </c>
      <c r="K168" s="4" t="str">
        <f aca="false">Orders_Raw!H168</f>
        <v>2026-01-19 15:02</v>
      </c>
      <c r="L168" s="4" t="str">
        <f aca="false">IF(COUNTIF(Orders_Raw!$A$5:$A$539,A168)&gt;1,"YES","No")</f>
        <v>No</v>
      </c>
      <c r="M168" s="4" t="str">
        <f aca="false">IF(COUNTIFS($B$5:$B$539,B168,$D$5:$D$539,D168,$F$5:$F$539,F168)&gt;1,"YES","No")</f>
        <v>No</v>
      </c>
      <c r="N168" s="4" t="str">
        <f aca="false">IFERROR(INDEX(Customer_Master!$B$5:$B$64,MATCH(B168,Customer_Master!$A$5:$A$64,0)),"UNMATCHED")</f>
        <v>Samuel Ajayi</v>
      </c>
      <c r="O168" s="4" t="str">
        <f aca="false">IFERROR(INDEX(Customer_Master!$C$5:$C$64,MATCH(B168,Customer_Master!$A$5:$A$64,0)),"UNMATCHED")</f>
        <v>At Risk</v>
      </c>
      <c r="P168" s="4" t="str">
        <f aca="false">IFERROR(INDEX(Customer_Master!$D$5:$D$64,MATCH(B168,Customer_Master!$A$5:$A$64,0)),"UNMATCHED")</f>
        <v>Kaduna</v>
      </c>
      <c r="Q168" s="4" t="str">
        <f aca="false">IF(N168="UNMATCHED","Unmatched","Matched")</f>
        <v>Matched</v>
      </c>
      <c r="R168" s="4" t="str">
        <f aca="false">IF(OR(E168="No",G168="No",I168="No",L168="YES",Q168="Unmatched"),"NEEDS REVIEW","OK")</f>
        <v>NEEDS REVIEW</v>
      </c>
    </row>
    <row r="169" customFormat="false" ht="15" hidden="false" customHeight="false" outlineLevel="0" collapsed="false">
      <c r="A169" s="4" t="str">
        <f aca="false">Orders_Raw!A169</f>
        <v>ORD00040</v>
      </c>
      <c r="B169" s="4" t="str">
        <f aca="false">TRIM(UPPER(Orders_Raw!B169))</f>
        <v>CUST0043</v>
      </c>
      <c r="C169" s="4" t="str">
        <f aca="false">PROPER(TRIM(Orders_Raw!C169))</f>
        <v>Grace Ajayi</v>
      </c>
      <c r="D169" s="6" t="n">
        <f aca="false">IFERROR(DATEVALUE(Orders_Raw!D169),"")</f>
        <v>46149</v>
      </c>
      <c r="E169" s="4" t="str">
        <f aca="false">IF(D169="","No","Yes")</f>
        <v>Yes</v>
      </c>
      <c r="F169" s="4" t="n">
        <f aca="false">IFERROR(VALUE(SUBSTITUTE(SUBSTITUTE(SUBSTITUTE(Orders_Raw!G169,"$",""),"NGN",""),",","")),"")</f>
        <v>466.87</v>
      </c>
      <c r="G169" s="4" t="str">
        <f aca="false">IF(F169="","No","Yes")</f>
        <v>Yes</v>
      </c>
      <c r="H169" s="4" t="str">
        <f aca="false">Orders_Raw!F169</f>
        <v>2</v>
      </c>
      <c r="I169" s="4" t="str">
        <f aca="false">IF(H169="","No",IF(H169&lt;=0,"No","Yes"))</f>
        <v>Yes</v>
      </c>
      <c r="J169" s="4" t="str">
        <f aca="false">Orders_Raw!E169</f>
        <v>Speaker</v>
      </c>
      <c r="K169" s="4" t="str">
        <f aca="false">Orders_Raw!H169</f>
        <v>2026-05-07 12:35</v>
      </c>
      <c r="L169" s="4" t="str">
        <f aca="false">IF(COUNTIF(Orders_Raw!$A$5:$A$539,A169)&gt;1,"YES","No")</f>
        <v>No</v>
      </c>
      <c r="M169" s="4" t="str">
        <f aca="false">IF(COUNTIFS($B$5:$B$539,B169,$D$5:$D$539,D169,$F$5:$F$539,F169)&gt;1,"YES","No")</f>
        <v>No</v>
      </c>
      <c r="N169" s="4" t="str">
        <f aca="false">IFERROR(INDEX(Customer_Master!$B$5:$B$64,MATCH(B169,Customer_Master!$A$5:$A$64,0)),"UNMATCHED")</f>
        <v>Grace Ajayi</v>
      </c>
      <c r="O169" s="4" t="str">
        <f aca="false">IFERROR(INDEX(Customer_Master!$C$5:$C$64,MATCH(B169,Customer_Master!$A$5:$A$64,0)),"UNMATCHED")</f>
        <v>New</v>
      </c>
      <c r="P169" s="4" t="str">
        <f aca="false">IFERROR(INDEX(Customer_Master!$D$5:$D$64,MATCH(B169,Customer_Master!$A$5:$A$64,0)),"UNMATCHED")</f>
        <v>Abuja</v>
      </c>
      <c r="Q169" s="4" t="str">
        <f aca="false">IF(N169="UNMATCHED","Unmatched","Matched")</f>
        <v>Matched</v>
      </c>
      <c r="R169" s="4" t="str">
        <f aca="false">IF(OR(E169="No",G169="No",I169="No",L169="YES",Q169="Unmatched"),"NEEDS REVIEW","OK")</f>
        <v>OK</v>
      </c>
    </row>
    <row r="170" customFormat="false" ht="15" hidden="false" customHeight="false" outlineLevel="0" collapsed="false">
      <c r="A170" s="4" t="str">
        <f aca="false">Orders_Raw!A170</f>
        <v>ORD00506</v>
      </c>
      <c r="B170" s="4" t="str">
        <f aca="false">TRIM(UPPER(Orders_Raw!B170))</f>
        <v>CUST0001</v>
      </c>
      <c r="C170" s="4" t="str">
        <f aca="false">PROPER(TRIM(Orders_Raw!C170))</f>
        <v>Ola Lawal</v>
      </c>
      <c r="D170" s="6" t="n">
        <f aca="false">IFERROR(DATEVALUE(Orders_Raw!D170),"")</f>
        <v>46113</v>
      </c>
      <c r="E170" s="4" t="str">
        <f aca="false">IF(D170="","No","Yes")</f>
        <v>Yes</v>
      </c>
      <c r="F170" s="4" t="n">
        <f aca="false">IFERROR(VALUE(SUBSTITUTE(SUBSTITUTE(SUBSTITUTE(Orders_Raw!G170,"$",""),"NGN",""),",","")),"")</f>
        <v>257.78</v>
      </c>
      <c r="G170" s="4" t="str">
        <f aca="false">IF(F170="","No","Yes")</f>
        <v>Yes</v>
      </c>
      <c r="H170" s="4" t="str">
        <f aca="false">Orders_Raw!F170</f>
        <v>4</v>
      </c>
      <c r="I170" s="4" t="str">
        <f aca="false">IF(H170="","No",IF(H170&lt;=0,"No","Yes"))</f>
        <v>Yes</v>
      </c>
      <c r="J170" s="4" t="str">
        <f aca="false">Orders_Raw!E170</f>
        <v>Mouse</v>
      </c>
      <c r="K170" s="4" t="str">
        <f aca="false">Orders_Raw!H170</f>
        <v>2026-01-04 12:12</v>
      </c>
      <c r="L170" s="4" t="str">
        <f aca="false">IF(COUNTIF(Orders_Raw!$A$5:$A$539,A170)&gt;1,"YES","No")</f>
        <v>No</v>
      </c>
      <c r="M170" s="4" t="str">
        <f aca="false">IF(COUNTIFS($B$5:$B$539,B170,$D$5:$D$539,D170,$F$5:$F$539,F170)&gt;1,"YES","No")</f>
        <v>No</v>
      </c>
      <c r="N170" s="4" t="str">
        <f aca="false">IFERROR(INDEX(Customer_Master!$B$5:$B$64,MATCH(B170,Customer_Master!$A$5:$A$64,0)),"UNMATCHED")</f>
        <v>Ola Lawal</v>
      </c>
      <c r="O170" s="4" t="str">
        <f aca="false">IFERROR(INDEX(Customer_Master!$C$5:$C$64,MATCH(B170,Customer_Master!$A$5:$A$64,0)),"UNMATCHED")</f>
        <v>Champions</v>
      </c>
      <c r="P170" s="4" t="str">
        <f aca="false">IFERROR(INDEX(Customer_Master!$D$5:$D$64,MATCH(B170,Customer_Master!$A$5:$A$64,0)),"UNMATCHED")</f>
        <v>Ibadan</v>
      </c>
      <c r="Q170" s="4" t="str">
        <f aca="false">IF(N170="UNMATCHED","Unmatched","Matched")</f>
        <v>Matched</v>
      </c>
      <c r="R170" s="4" t="str">
        <f aca="false">IF(OR(E170="No",G170="No",I170="No",L170="YES",Q170="Unmatched"),"NEEDS REVIEW","OK")</f>
        <v>OK</v>
      </c>
    </row>
    <row r="171" customFormat="false" ht="15" hidden="false" customHeight="false" outlineLevel="0" collapsed="false">
      <c r="A171" s="4" t="str">
        <f aca="false">Orders_Raw!A171</f>
        <v>ORD00396</v>
      </c>
      <c r="B171" s="4" t="str">
        <f aca="false">TRIM(UPPER(Orders_Raw!B171))</f>
        <v>CUST0018</v>
      </c>
      <c r="C171" s="4" t="str">
        <f aca="false">PROPER(TRIM(Orders_Raw!C171))</f>
        <v>Fatima Okonkwo</v>
      </c>
      <c r="D171" s="6" t="n">
        <f aca="false">IFERROR(DATEVALUE(Orders_Raw!D171),"")</f>
        <v>46214</v>
      </c>
      <c r="E171" s="4" t="str">
        <f aca="false">IF(D171="","No","Yes")</f>
        <v>Yes</v>
      </c>
      <c r="F171" s="4" t="n">
        <f aca="false">IFERROR(VALUE(SUBSTITUTE(SUBSTITUTE(SUBSTITUTE(Orders_Raw!G171,"$",""),"NGN",""),",","")),"")</f>
        <v>1309.53</v>
      </c>
      <c r="G171" s="4" t="str">
        <f aca="false">IF(F171="","No","Yes")</f>
        <v>Yes</v>
      </c>
      <c r="H171" s="4" t="str">
        <f aca="false">Orders_Raw!F171</f>
        <v>2</v>
      </c>
      <c r="I171" s="4" t="str">
        <f aca="false">IF(H171="","No",IF(H171&lt;=0,"No","Yes"))</f>
        <v>Yes</v>
      </c>
      <c r="J171" s="4" t="str">
        <f aca="false">Orders_Raw!E171</f>
        <v>Headphones</v>
      </c>
      <c r="K171" s="4" t="str">
        <f aca="false">Orders_Raw!H171</f>
        <v>2026-07-11 11:42</v>
      </c>
      <c r="L171" s="4" t="str">
        <f aca="false">IF(COUNTIF(Orders_Raw!$A$5:$A$539,A171)&gt;1,"YES","No")</f>
        <v>No</v>
      </c>
      <c r="M171" s="4" t="str">
        <f aca="false">IF(COUNTIFS($B$5:$B$539,B171,$D$5:$D$539,D171,$F$5:$F$539,F171)&gt;1,"YES","No")</f>
        <v>No</v>
      </c>
      <c r="N171" s="4" t="str">
        <f aca="false">IFERROR(INDEX(Customer_Master!$B$5:$B$64,MATCH(B171,Customer_Master!$A$5:$A$64,0)),"UNMATCHED")</f>
        <v>Fatima Okonkwo</v>
      </c>
      <c r="O171" s="4" t="str">
        <f aca="false">IFERROR(INDEX(Customer_Master!$C$5:$C$64,MATCH(B171,Customer_Master!$A$5:$A$64,0)),"UNMATCHED")</f>
        <v>At Risk</v>
      </c>
      <c r="P171" s="4" t="str">
        <f aca="false">IFERROR(INDEX(Customer_Master!$D$5:$D$64,MATCH(B171,Customer_Master!$A$5:$A$64,0)),"UNMATCHED")</f>
        <v>Port Harcourt</v>
      </c>
      <c r="Q171" s="4" t="str">
        <f aca="false">IF(N171="UNMATCHED","Unmatched","Matched")</f>
        <v>Matched</v>
      </c>
      <c r="R171" s="4" t="str">
        <f aca="false">IF(OR(E171="No",G171="No",I171="No",L171="YES",Q171="Unmatched"),"NEEDS REVIEW","OK")</f>
        <v>OK</v>
      </c>
    </row>
    <row r="172" customFormat="false" ht="15" hidden="false" customHeight="false" outlineLevel="0" collapsed="false">
      <c r="A172" s="4" t="str">
        <f aca="false">Orders_Raw!A172</f>
        <v>ORD00450</v>
      </c>
      <c r="B172" s="4" t="str">
        <f aca="false">TRIM(UPPER(Orders_Raw!B172))</f>
        <v>CUSTO015</v>
      </c>
      <c r="C172" s="4" t="str">
        <f aca="false">PROPER(TRIM(Orders_Raw!C172))</f>
        <v>Ahmed Nwosu</v>
      </c>
      <c r="D172" s="6" t="n">
        <f aca="false">IFERROR(DATEVALUE(Orders_Raw!D172),"")</f>
        <v>46128</v>
      </c>
      <c r="E172" s="4" t="str">
        <f aca="false">IF(D172="","No","Yes")</f>
        <v>Yes</v>
      </c>
      <c r="F172" s="4" t="n">
        <f aca="false">IFERROR(VALUE(SUBSTITUTE(SUBSTITUTE(SUBSTITUTE(Orders_Raw!G172,"$",""),"NGN",""),",","")),"")</f>
        <v>1859.78</v>
      </c>
      <c r="G172" s="4" t="str">
        <f aca="false">IF(F172="","No","Yes")</f>
        <v>Yes</v>
      </c>
      <c r="H172" s="4" t="str">
        <f aca="false">Orders_Raw!F172</f>
        <v>5</v>
      </c>
      <c r="I172" s="4" t="str">
        <f aca="false">IF(H172="","No",IF(H172&lt;=0,"No","Yes"))</f>
        <v>Yes</v>
      </c>
      <c r="J172" s="4" t="str">
        <f aca="false">Orders_Raw!E172</f>
        <v>Printer</v>
      </c>
      <c r="K172" s="4" t="str">
        <f aca="false">Orders_Raw!H172</f>
        <v>2026-04-16 17:31</v>
      </c>
      <c r="L172" s="4" t="str">
        <f aca="false">IF(COUNTIF(Orders_Raw!$A$5:$A$539,A172)&gt;1,"YES","No")</f>
        <v>YES</v>
      </c>
      <c r="M172" s="4" t="str">
        <f aca="false">IF(COUNTIFS($B$5:$B$539,B172,$D$5:$D$539,D172,$F$5:$F$539,F172)&gt;1,"YES","No")</f>
        <v>YES</v>
      </c>
      <c r="N172" s="4" t="str">
        <f aca="false">IFERROR(INDEX(Customer_Master!$B$5:$B$64,MATCH(B172,Customer_Master!$A$5:$A$64,0)),"UNMATCHED")</f>
        <v>UNMATCHED</v>
      </c>
      <c r="O172" s="4" t="str">
        <f aca="false">IFERROR(INDEX(Customer_Master!$C$5:$C$64,MATCH(B172,Customer_Master!$A$5:$A$64,0)),"UNMATCHED")</f>
        <v>UNMATCHED</v>
      </c>
      <c r="P172" s="4" t="str">
        <f aca="false">IFERROR(INDEX(Customer_Master!$D$5:$D$64,MATCH(B172,Customer_Master!$A$5:$A$64,0)),"UNMATCHED")</f>
        <v>UNMATCHED</v>
      </c>
      <c r="Q172" s="4" t="str">
        <f aca="false">IF(N172="UNMATCHED","Unmatched","Matched")</f>
        <v>Unmatched</v>
      </c>
      <c r="R172" s="4" t="str">
        <f aca="false">IF(OR(E172="No",G172="No",I172="No",L172="YES",Q172="Unmatched"),"NEEDS REVIEW","OK")</f>
        <v>NEEDS REVIEW</v>
      </c>
    </row>
    <row r="173" customFormat="false" ht="15" hidden="false" customHeight="false" outlineLevel="0" collapsed="false">
      <c r="A173" s="4" t="str">
        <f aca="false">Orders_Raw!A173</f>
        <v>ORD00138</v>
      </c>
      <c r="B173" s="4" t="str">
        <f aca="false">TRIM(UPPER(Orders_Raw!B173))</f>
        <v>CUST0060</v>
      </c>
      <c r="C173" s="4" t="str">
        <f aca="false">PROPER(TRIM(Orders_Raw!C173))</f>
        <v>James Umeh</v>
      </c>
      <c r="D173" s="6" t="str">
        <f aca="false">IFERROR(DATEVALUE(Orders_Raw!D173),"")</f>
        <v/>
      </c>
      <c r="E173" s="4" t="str">
        <f aca="false">IF(D173="","No","Yes")</f>
        <v>No</v>
      </c>
      <c r="F173" s="4" t="n">
        <f aca="false">IFERROR(VALUE(SUBSTITUTE(SUBSTITUTE(SUBSTITUTE(Orders_Raw!G173,"$",""),"NGN",""),",","")),"")</f>
        <v>2372.14</v>
      </c>
      <c r="G173" s="4" t="str">
        <f aca="false">IF(F173="","No","Yes")</f>
        <v>Yes</v>
      </c>
      <c r="H173" s="4" t="str">
        <f aca="false">Orders_Raw!F173</f>
        <v>2</v>
      </c>
      <c r="I173" s="4" t="str">
        <f aca="false">IF(H173="","No",IF(H173&lt;=0,"No","Yes"))</f>
        <v>Yes</v>
      </c>
      <c r="J173" s="4" t="str">
        <f aca="false">Orders_Raw!E173</f>
        <v>Monitor</v>
      </c>
      <c r="K173" s="4" t="str">
        <f aca="false">Orders_Raw!H173</f>
        <v>2026-01-21 17:40</v>
      </c>
      <c r="L173" s="4" t="str">
        <f aca="false">IF(COUNTIF(Orders_Raw!$A$5:$A$539,A173)&gt;1,"YES","No")</f>
        <v>No</v>
      </c>
      <c r="M173" s="4" t="str">
        <f aca="false">IF(COUNTIFS($B$5:$B$539,B173,$D$5:$D$539,D173,$F$5:$F$539,F173)&gt;1,"YES","No")</f>
        <v>No</v>
      </c>
      <c r="N173" s="4" t="str">
        <f aca="false">IFERROR(INDEX(Customer_Master!$B$5:$B$64,MATCH(B173,Customer_Master!$A$5:$A$64,0)),"UNMATCHED")</f>
        <v>James Umeh</v>
      </c>
      <c r="O173" s="4" t="str">
        <f aca="false">IFERROR(INDEX(Customer_Master!$C$5:$C$64,MATCH(B173,Customer_Master!$A$5:$A$64,0)),"UNMATCHED")</f>
        <v>Champions</v>
      </c>
      <c r="P173" s="4" t="str">
        <f aca="false">IFERROR(INDEX(Customer_Master!$D$5:$D$64,MATCH(B173,Customer_Master!$A$5:$A$64,0)),"UNMATCHED")</f>
        <v>Kano</v>
      </c>
      <c r="Q173" s="4" t="str">
        <f aca="false">IF(N173="UNMATCHED","Unmatched","Matched")</f>
        <v>Matched</v>
      </c>
      <c r="R173" s="4" t="str">
        <f aca="false">IF(OR(E173="No",G173="No",I173="No",L173="YES",Q173="Unmatched"),"NEEDS REVIEW","OK")</f>
        <v>NEEDS REVIEW</v>
      </c>
    </row>
    <row r="174" customFormat="false" ht="15" hidden="false" customHeight="false" outlineLevel="0" collapsed="false">
      <c r="A174" s="4" t="str">
        <f aca="false">Orders_Raw!A174</f>
        <v>ORD00371</v>
      </c>
      <c r="B174" s="4" t="str">
        <f aca="false">TRIM(UPPER(Orders_Raw!B174))</f>
        <v>CUST0024</v>
      </c>
      <c r="C174" s="4" t="str">
        <f aca="false">PROPER(TRIM(Orders_Raw!C174))</f>
        <v>Aisha Adeyemi</v>
      </c>
      <c r="D174" s="6" t="n">
        <f aca="false">IFERROR(DATEVALUE(Orders_Raw!D174),"")</f>
        <v>46087</v>
      </c>
      <c r="E174" s="4" t="str">
        <f aca="false">IF(D174="","No","Yes")</f>
        <v>Yes</v>
      </c>
      <c r="F174" s="4" t="n">
        <f aca="false">IFERROR(VALUE(SUBSTITUTE(SUBSTITUTE(SUBSTITUTE(Orders_Raw!G174,"$",""),"NGN",""),",","")),"")</f>
        <v>2139.62</v>
      </c>
      <c r="G174" s="4" t="str">
        <f aca="false">IF(F174="","No","Yes")</f>
        <v>Yes</v>
      </c>
      <c r="H174" s="4" t="str">
        <f aca="false">Orders_Raw!F174</f>
        <v>3</v>
      </c>
      <c r="I174" s="4" t="str">
        <f aca="false">IF(H174="","No",IF(H174&lt;=0,"No","Yes"))</f>
        <v>Yes</v>
      </c>
      <c r="J174" s="4" t="str">
        <f aca="false">Orders_Raw!E174</f>
        <v>Monitor</v>
      </c>
      <c r="K174" s="4" t="str">
        <f aca="false">Orders_Raw!H174</f>
        <v>2026-03-06 11:26</v>
      </c>
      <c r="L174" s="4" t="str">
        <f aca="false">IF(COUNTIF(Orders_Raw!$A$5:$A$539,A174)&gt;1,"YES","No")</f>
        <v>No</v>
      </c>
      <c r="M174" s="4" t="str">
        <f aca="false">IF(COUNTIFS($B$5:$B$539,B174,$D$5:$D$539,D174,$F$5:$F$539,F174)&gt;1,"YES","No")</f>
        <v>No</v>
      </c>
      <c r="N174" s="4" t="str">
        <f aca="false">IFERROR(INDEX(Customer_Master!$B$5:$B$64,MATCH(B174,Customer_Master!$A$5:$A$64,0)),"UNMATCHED")</f>
        <v>Aisha Adeyemi</v>
      </c>
      <c r="O174" s="4" t="str">
        <f aca="false">IFERROR(INDEX(Customer_Master!$C$5:$C$64,MATCH(B174,Customer_Master!$A$5:$A$64,0)),"UNMATCHED")</f>
        <v>At Risk</v>
      </c>
      <c r="P174" s="4" t="str">
        <f aca="false">IFERROR(INDEX(Customer_Master!$D$5:$D$64,MATCH(B174,Customer_Master!$A$5:$A$64,0)),"UNMATCHED")</f>
        <v>Enugu</v>
      </c>
      <c r="Q174" s="4" t="str">
        <f aca="false">IF(N174="UNMATCHED","Unmatched","Matched")</f>
        <v>Matched</v>
      </c>
      <c r="R174" s="4" t="str">
        <f aca="false">IF(OR(E174="No",G174="No",I174="No",L174="YES",Q174="Unmatched"),"NEEDS REVIEW","OK")</f>
        <v>OK</v>
      </c>
    </row>
    <row r="175" customFormat="false" ht="15" hidden="false" customHeight="false" outlineLevel="0" collapsed="false">
      <c r="A175" s="4" t="str">
        <f aca="false">Orders_Raw!A175</f>
        <v>ORD00466</v>
      </c>
      <c r="B175" s="4" t="str">
        <f aca="false">TRIM(UPPER(Orders_Raw!B175))</f>
        <v>CUST0012</v>
      </c>
      <c r="C175" s="4" t="str">
        <f aca="false">PROPER(TRIM(Orders_Raw!C175))</f>
        <v>Kemi Sani</v>
      </c>
      <c r="D175" s="6" t="n">
        <f aca="false">IFERROR(DATEVALUE(Orders_Raw!D175),"")</f>
        <v>46204</v>
      </c>
      <c r="E175" s="4" t="str">
        <f aca="false">IF(D175="","No","Yes")</f>
        <v>Yes</v>
      </c>
      <c r="F175" s="4" t="n">
        <f aca="false">IFERROR(VALUE(SUBSTITUTE(SUBSTITUTE(SUBSTITUTE(Orders_Raw!G175,"$",""),"NGN",""),",","")),"")</f>
        <v>2448.46</v>
      </c>
      <c r="G175" s="4" t="str">
        <f aca="false">IF(F175="","No","Yes")</f>
        <v>Yes</v>
      </c>
      <c r="H175" s="4" t="n">
        <f aca="false">Orders_Raw!F175</f>
        <v>0</v>
      </c>
      <c r="I175" s="4" t="str">
        <f aca="false">IF(H175="","No",IF(H175&lt;=0,"No","Yes"))</f>
        <v>No</v>
      </c>
      <c r="J175" s="4" t="str">
        <f aca="false">Orders_Raw!E175</f>
        <v>Phone</v>
      </c>
      <c r="K175" s="4" t="str">
        <f aca="false">Orders_Raw!H175</f>
        <v>2026-07-01 11:51</v>
      </c>
      <c r="L175" s="4" t="str">
        <f aca="false">IF(COUNTIF(Orders_Raw!$A$5:$A$539,A175)&gt;1,"YES","No")</f>
        <v>No</v>
      </c>
      <c r="M175" s="4" t="str">
        <f aca="false">IF(COUNTIFS($B$5:$B$539,B175,$D$5:$D$539,D175,$F$5:$F$539,F175)&gt;1,"YES","No")</f>
        <v>No</v>
      </c>
      <c r="N175" s="4" t="str">
        <f aca="false">IFERROR(INDEX(Customer_Master!$B$5:$B$64,MATCH(B175,Customer_Master!$A$5:$A$64,0)),"UNMATCHED")</f>
        <v>Kemi Sani</v>
      </c>
      <c r="O175" s="4" t="str">
        <f aca="false">IFERROR(INDEX(Customer_Master!$C$5:$C$64,MATCH(B175,Customer_Master!$A$5:$A$64,0)),"UNMATCHED")</f>
        <v>Champions</v>
      </c>
      <c r="P175" s="4" t="str">
        <f aca="false">IFERROR(INDEX(Customer_Master!$D$5:$D$64,MATCH(B175,Customer_Master!$A$5:$A$64,0)),"UNMATCHED")</f>
        <v>Kaduna</v>
      </c>
      <c r="Q175" s="4" t="str">
        <f aca="false">IF(N175="UNMATCHED","Unmatched","Matched")</f>
        <v>Matched</v>
      </c>
      <c r="R175" s="4" t="str">
        <f aca="false">IF(OR(E175="No",G175="No",I175="No",L175="YES",Q175="Unmatched"),"NEEDS REVIEW","OK")</f>
        <v>NEEDS REVIEW</v>
      </c>
    </row>
    <row r="176" customFormat="false" ht="15" hidden="false" customHeight="false" outlineLevel="0" collapsed="false">
      <c r="A176" s="4" t="str">
        <f aca="false">Orders_Raw!A176</f>
        <v>ORD00315</v>
      </c>
      <c r="B176" s="4" t="str">
        <f aca="false">TRIM(UPPER(Orders_Raw!B176))</f>
        <v>CUST0023</v>
      </c>
      <c r="C176" s="4" t="str">
        <f aca="false">PROPER(TRIM(Orders_Raw!C176))</f>
        <v>Chidi Umeh</v>
      </c>
      <c r="D176" s="6" t="n">
        <f aca="false">IFERROR(DATEVALUE(Orders_Raw!D176),"")</f>
        <v>46117</v>
      </c>
      <c r="E176" s="4" t="str">
        <f aca="false">IF(D176="","No","Yes")</f>
        <v>Yes</v>
      </c>
      <c r="F176" s="4" t="n">
        <f aca="false">IFERROR(VALUE(SUBSTITUTE(SUBSTITUTE(SUBSTITUTE(Orders_Raw!G176,"$",""),"NGN",""),",","")),"")</f>
        <v>295.65</v>
      </c>
      <c r="G176" s="4" t="str">
        <f aca="false">IF(F176="","No","Yes")</f>
        <v>Yes</v>
      </c>
      <c r="H176" s="4" t="str">
        <f aca="false">Orders_Raw!F176</f>
        <v>2</v>
      </c>
      <c r="I176" s="4" t="str">
        <f aca="false">IF(H176="","No",IF(H176&lt;=0,"No","Yes"))</f>
        <v>Yes</v>
      </c>
      <c r="J176" s="4" t="str">
        <f aca="false">Orders_Raw!E176</f>
        <v>Keyboard</v>
      </c>
      <c r="K176" s="4" t="str">
        <f aca="false">Orders_Raw!H176</f>
        <v>2026-05-04 08:45</v>
      </c>
      <c r="L176" s="4" t="str">
        <f aca="false">IF(COUNTIF(Orders_Raw!$A$5:$A$539,A176)&gt;1,"YES","No")</f>
        <v>No</v>
      </c>
      <c r="M176" s="4" t="str">
        <f aca="false">IF(COUNTIFS($B$5:$B$539,B176,$D$5:$D$539,D176,$F$5:$F$539,F176)&gt;1,"YES","No")</f>
        <v>No</v>
      </c>
      <c r="N176" s="4" t="str">
        <f aca="false">IFERROR(INDEX(Customer_Master!$B$5:$B$64,MATCH(B176,Customer_Master!$A$5:$A$64,0)),"UNMATCHED")</f>
        <v>Chidi Umeh</v>
      </c>
      <c r="O176" s="4" t="str">
        <f aca="false">IFERROR(INDEX(Customer_Master!$C$5:$C$64,MATCH(B176,Customer_Master!$A$5:$A$64,0)),"UNMATCHED")</f>
        <v>Champions</v>
      </c>
      <c r="P176" s="4" t="str">
        <f aca="false">IFERROR(INDEX(Customer_Master!$D$5:$D$64,MATCH(B176,Customer_Master!$A$5:$A$64,0)),"UNMATCHED")</f>
        <v>Kano</v>
      </c>
      <c r="Q176" s="4" t="str">
        <f aca="false">IF(N176="UNMATCHED","Unmatched","Matched")</f>
        <v>Matched</v>
      </c>
      <c r="R176" s="4" t="str">
        <f aca="false">IF(OR(E176="No",G176="No",I176="No",L176="YES",Q176="Unmatched"),"NEEDS REVIEW","OK")</f>
        <v>OK</v>
      </c>
    </row>
    <row r="177" customFormat="false" ht="15" hidden="false" customHeight="false" outlineLevel="0" collapsed="false">
      <c r="A177" s="4" t="str">
        <f aca="false">Orders_Raw!A177</f>
        <v>ORD00421</v>
      </c>
      <c r="B177" s="4" t="str">
        <f aca="false">TRIM(UPPER(Orders_Raw!B177))</f>
        <v>CUST0024</v>
      </c>
      <c r="C177" s="4" t="str">
        <f aca="false">PROPER(TRIM(Orders_Raw!C177))</f>
        <v>Aisha Adeyemi</v>
      </c>
      <c r="D177" s="6" t="n">
        <f aca="false">IFERROR(DATEVALUE(Orders_Raw!D177),"")</f>
        <v>46180</v>
      </c>
      <c r="E177" s="4" t="str">
        <f aca="false">IF(D177="","No","Yes")</f>
        <v>Yes</v>
      </c>
      <c r="F177" s="4" t="n">
        <f aca="false">IFERROR(VALUE(SUBSTITUTE(SUBSTITUTE(SUBSTITUTE(Orders_Raw!G177,"$",""),"NGN",""),",","")),"")</f>
        <v>1329.62</v>
      </c>
      <c r="G177" s="4" t="str">
        <f aca="false">IF(F177="","No","Yes")</f>
        <v>Yes</v>
      </c>
      <c r="H177" s="4" t="str">
        <f aca="false">Orders_Raw!F177</f>
        <v>5</v>
      </c>
      <c r="I177" s="4" t="str">
        <f aca="false">IF(H177="","No",IF(H177&lt;=0,"No","Yes"))</f>
        <v>Yes</v>
      </c>
      <c r="J177" s="4" t="str">
        <f aca="false">Orders_Raw!E177</f>
        <v>Tablet</v>
      </c>
      <c r="K177" s="4" t="str">
        <f aca="false">Orders_Raw!H177</f>
        <v>2026-06-07 09:06</v>
      </c>
      <c r="L177" s="4" t="str">
        <f aca="false">IF(COUNTIF(Orders_Raw!$A$5:$A$539,A177)&gt;1,"YES","No")</f>
        <v>No</v>
      </c>
      <c r="M177" s="4" t="str">
        <f aca="false">IF(COUNTIFS($B$5:$B$539,B177,$D$5:$D$539,D177,$F$5:$F$539,F177)&gt;1,"YES","No")</f>
        <v>No</v>
      </c>
      <c r="N177" s="4" t="str">
        <f aca="false">IFERROR(INDEX(Customer_Master!$B$5:$B$64,MATCH(B177,Customer_Master!$A$5:$A$64,0)),"UNMATCHED")</f>
        <v>Aisha Adeyemi</v>
      </c>
      <c r="O177" s="4" t="str">
        <f aca="false">IFERROR(INDEX(Customer_Master!$C$5:$C$64,MATCH(B177,Customer_Master!$A$5:$A$64,0)),"UNMATCHED")</f>
        <v>At Risk</v>
      </c>
      <c r="P177" s="4" t="str">
        <f aca="false">IFERROR(INDEX(Customer_Master!$D$5:$D$64,MATCH(B177,Customer_Master!$A$5:$A$64,0)),"UNMATCHED")</f>
        <v>Enugu</v>
      </c>
      <c r="Q177" s="4" t="str">
        <f aca="false">IF(N177="UNMATCHED","Unmatched","Matched")</f>
        <v>Matched</v>
      </c>
      <c r="R177" s="4" t="str">
        <f aca="false">IF(OR(E177="No",G177="No",I177="No",L177="YES",Q177="Unmatched"),"NEEDS REVIEW","OK")</f>
        <v>OK</v>
      </c>
    </row>
    <row r="178" customFormat="false" ht="15" hidden="false" customHeight="false" outlineLevel="0" collapsed="false">
      <c r="A178" s="4" t="str">
        <f aca="false">Orders_Raw!A178</f>
        <v>ORD00073</v>
      </c>
      <c r="B178" s="4" t="str">
        <f aca="false">TRIM(UPPER(Orders_Raw!B178))</f>
        <v>CUST0029</v>
      </c>
      <c r="C178" s="4" t="str">
        <f aca="false">PROPER(TRIM(Orders_Raw!C178))</f>
        <v>James Uche</v>
      </c>
      <c r="D178" s="6" t="n">
        <f aca="false">IFERROR(DATEVALUE(Orders_Raw!D178),"")</f>
        <v>46046</v>
      </c>
      <c r="E178" s="4" t="str">
        <f aca="false">IF(D178="","No","Yes")</f>
        <v>Yes</v>
      </c>
      <c r="F178" s="4" t="n">
        <f aca="false">IFERROR(VALUE(SUBSTITUTE(SUBSTITUTE(SUBSTITUTE(Orders_Raw!G178,"$",""),"NGN",""),",","")),"")</f>
        <v>826.9</v>
      </c>
      <c r="G178" s="4" t="str">
        <f aca="false">IF(F178="","No","Yes")</f>
        <v>Yes</v>
      </c>
      <c r="H178" s="4" t="str">
        <f aca="false">Orders_Raw!F178</f>
        <v>1</v>
      </c>
      <c r="I178" s="4" t="str">
        <f aca="false">IF(H178="","No",IF(H178&lt;=0,"No","Yes"))</f>
        <v>Yes</v>
      </c>
      <c r="J178" s="4" t="str">
        <f aca="false">Orders_Raw!E178</f>
        <v>Keyboard</v>
      </c>
      <c r="K178" s="4" t="str">
        <f aca="false">Orders_Raw!H178</f>
        <v>2026-01-24 16:32</v>
      </c>
      <c r="L178" s="4" t="str">
        <f aca="false">IF(COUNTIF(Orders_Raw!$A$5:$A$539,A178)&gt;1,"YES","No")</f>
        <v>No</v>
      </c>
      <c r="M178" s="4" t="str">
        <f aca="false">IF(COUNTIFS($B$5:$B$539,B178,$D$5:$D$539,D178,$F$5:$F$539,F178)&gt;1,"YES","No")</f>
        <v>No</v>
      </c>
      <c r="N178" s="4" t="str">
        <f aca="false">IFERROR(INDEX(Customer_Master!$B$5:$B$64,MATCH(B178,Customer_Master!$A$5:$A$64,0)),"UNMATCHED")</f>
        <v>James Uche</v>
      </c>
      <c r="O178" s="4" t="str">
        <f aca="false">IFERROR(INDEX(Customer_Master!$C$5:$C$64,MATCH(B178,Customer_Master!$A$5:$A$64,0)),"UNMATCHED")</f>
        <v>Lost / Low-Value</v>
      </c>
      <c r="P178" s="4" t="str">
        <f aca="false">IFERROR(INDEX(Customer_Master!$D$5:$D$64,MATCH(B178,Customer_Master!$A$5:$A$64,0)),"UNMATCHED")</f>
        <v>Enugu</v>
      </c>
      <c r="Q178" s="4" t="str">
        <f aca="false">IF(N178="UNMATCHED","Unmatched","Matched")</f>
        <v>Matched</v>
      </c>
      <c r="R178" s="4" t="str">
        <f aca="false">IF(OR(E178="No",G178="No",I178="No",L178="YES",Q178="Unmatched"),"NEEDS REVIEW","OK")</f>
        <v>OK</v>
      </c>
    </row>
    <row r="179" customFormat="false" ht="15" hidden="false" customHeight="false" outlineLevel="0" collapsed="false">
      <c r="A179" s="4" t="str">
        <f aca="false">Orders_Raw!A179</f>
        <v>ORD00444</v>
      </c>
      <c r="B179" s="4" t="str">
        <f aca="false">TRIM(UPPER(Orders_Raw!B179))</f>
        <v>CUST0025</v>
      </c>
      <c r="C179" s="4" t="str">
        <f aca="false">PROPER(TRIM(Orders_Raw!C179))</f>
        <v>Fatima Okafor</v>
      </c>
      <c r="D179" s="6" t="n">
        <f aca="false">IFERROR(DATEVALUE(Orders_Raw!D179),"")</f>
        <v>46183</v>
      </c>
      <c r="E179" s="4" t="str">
        <f aca="false">IF(D179="","No","Yes")</f>
        <v>Yes</v>
      </c>
      <c r="F179" s="4" t="n">
        <f aca="false">IFERROR(VALUE(SUBSTITUTE(SUBSTITUTE(SUBSTITUTE(Orders_Raw!G179,"$",""),"NGN",""),",","")),"")</f>
        <v>1052.07</v>
      </c>
      <c r="G179" s="4" t="str">
        <f aca="false">IF(F179="","No","Yes")</f>
        <v>Yes</v>
      </c>
      <c r="H179" s="4" t="str">
        <f aca="false">Orders_Raw!F179</f>
        <v>1</v>
      </c>
      <c r="I179" s="4" t="str">
        <f aca="false">IF(H179="","No",IF(H179&lt;=0,"No","Yes"))</f>
        <v>Yes</v>
      </c>
      <c r="J179" s="4" t="str">
        <f aca="false">Orders_Raw!E179</f>
        <v>Speaker</v>
      </c>
      <c r="K179" s="4" t="str">
        <f aca="false">Orders_Raw!H179</f>
        <v>2026-06-10 13:28</v>
      </c>
      <c r="L179" s="4" t="str">
        <f aca="false">IF(COUNTIF(Orders_Raw!$A$5:$A$539,A179)&gt;1,"YES","No")</f>
        <v>No</v>
      </c>
      <c r="M179" s="4" t="str">
        <f aca="false">IF(COUNTIFS($B$5:$B$539,B179,$D$5:$D$539,D179,$F$5:$F$539,F179)&gt;1,"YES","No")</f>
        <v>No</v>
      </c>
      <c r="N179" s="4" t="str">
        <f aca="false">IFERROR(INDEX(Customer_Master!$B$5:$B$64,MATCH(B179,Customer_Master!$A$5:$A$64,0)),"UNMATCHED")</f>
        <v>Fatima Okafor</v>
      </c>
      <c r="O179" s="4" t="str">
        <f aca="false">IFERROR(INDEX(Customer_Master!$C$5:$C$64,MATCH(B179,Customer_Master!$A$5:$A$64,0)),"UNMATCHED")</f>
        <v>Loyal</v>
      </c>
      <c r="P179" s="4" t="str">
        <f aca="false">IFERROR(INDEX(Customer_Master!$D$5:$D$64,MATCH(B179,Customer_Master!$A$5:$A$64,0)),"UNMATCHED")</f>
        <v>Jos</v>
      </c>
      <c r="Q179" s="4" t="str">
        <f aca="false">IF(N179="UNMATCHED","Unmatched","Matched")</f>
        <v>Matched</v>
      </c>
      <c r="R179" s="4" t="str">
        <f aca="false">IF(OR(E179="No",G179="No",I179="No",L179="YES",Q179="Unmatched"),"NEEDS REVIEW","OK")</f>
        <v>OK</v>
      </c>
    </row>
    <row r="180" customFormat="false" ht="15" hidden="false" customHeight="false" outlineLevel="0" collapsed="false">
      <c r="A180" s="4" t="str">
        <f aca="false">Orders_Raw!A180</f>
        <v>ORD00244</v>
      </c>
      <c r="B180" s="4" t="str">
        <f aca="false">TRIM(UPPER(Orders_Raw!B180))</f>
        <v>CUST0055</v>
      </c>
      <c r="C180" s="4" t="str">
        <f aca="false">PROPER(TRIM(Orders_Raw!C180))</f>
        <v>Amaka Adamu</v>
      </c>
      <c r="D180" s="6" t="n">
        <f aca="false">IFERROR(DATEVALUE(Orders_Raw!D180),"")</f>
        <v>46357</v>
      </c>
      <c r="E180" s="4" t="str">
        <f aca="false">IF(D180="","No","Yes")</f>
        <v>Yes</v>
      </c>
      <c r="F180" s="4" t="n">
        <f aca="false">IFERROR(VALUE(SUBSTITUTE(SUBSTITUTE(SUBSTITUTE(Orders_Raw!G180,"$",""),"NGN",""),",","")),"")</f>
        <v>919.48</v>
      </c>
      <c r="G180" s="4" t="str">
        <f aca="false">IF(F180="","No","Yes")</f>
        <v>Yes</v>
      </c>
      <c r="H180" s="4" t="str">
        <f aca="false">Orders_Raw!F180</f>
        <v>1</v>
      </c>
      <c r="I180" s="4" t="str">
        <f aca="false">IF(H180="","No",IF(H180&lt;=0,"No","Yes"))</f>
        <v>Yes</v>
      </c>
      <c r="J180" s="4" t="str">
        <f aca="false">Orders_Raw!E180</f>
        <v>Tablet</v>
      </c>
      <c r="K180" s="4" t="str">
        <f aca="false">Orders_Raw!H180</f>
        <v>2026-01-12 18:26</v>
      </c>
      <c r="L180" s="4" t="str">
        <f aca="false">IF(COUNTIF(Orders_Raw!$A$5:$A$539,A180)&gt;1,"YES","No")</f>
        <v>No</v>
      </c>
      <c r="M180" s="4" t="str">
        <f aca="false">IF(COUNTIFS($B$5:$B$539,B180,$D$5:$D$539,D180,$F$5:$F$539,F180)&gt;1,"YES","No")</f>
        <v>No</v>
      </c>
      <c r="N180" s="4" t="str">
        <f aca="false">IFERROR(INDEX(Customer_Master!$B$5:$B$64,MATCH(B180,Customer_Master!$A$5:$A$64,0)),"UNMATCHED")</f>
        <v>Amaka Adamu</v>
      </c>
      <c r="O180" s="4" t="str">
        <f aca="false">IFERROR(INDEX(Customer_Master!$C$5:$C$64,MATCH(B180,Customer_Master!$A$5:$A$64,0)),"UNMATCHED")</f>
        <v>Loyal</v>
      </c>
      <c r="P180" s="4" t="str">
        <f aca="false">IFERROR(INDEX(Customer_Master!$D$5:$D$64,MATCH(B180,Customer_Master!$A$5:$A$64,0)),"UNMATCHED")</f>
        <v>Kaduna</v>
      </c>
      <c r="Q180" s="4" t="str">
        <f aca="false">IF(N180="UNMATCHED","Unmatched","Matched")</f>
        <v>Matched</v>
      </c>
      <c r="R180" s="4" t="str">
        <f aca="false">IF(OR(E180="No",G180="No",I180="No",L180="YES",Q180="Unmatched"),"NEEDS REVIEW","OK")</f>
        <v>OK</v>
      </c>
    </row>
    <row r="181" customFormat="false" ht="15" hidden="false" customHeight="false" outlineLevel="0" collapsed="false">
      <c r="A181" s="4" t="str">
        <f aca="false">Orders_Raw!A181</f>
        <v>ORD00453</v>
      </c>
      <c r="B181" s="4" t="str">
        <f aca="false">TRIM(UPPER(Orders_Raw!B181))</f>
        <v>CUST0026</v>
      </c>
      <c r="C181" s="4" t="str">
        <f aca="false">PROPER(TRIM(Orders_Raw!C181))</f>
        <v>Amaka Yakubu</v>
      </c>
      <c r="D181" s="6" t="str">
        <f aca="false">IFERROR(DATEVALUE(Orders_Raw!D181),"")</f>
        <v/>
      </c>
      <c r="E181" s="4" t="str">
        <f aca="false">IF(D181="","No","Yes")</f>
        <v>No</v>
      </c>
      <c r="F181" s="4" t="n">
        <f aca="false">IFERROR(VALUE(SUBSTITUTE(SUBSTITUTE(SUBSTITUTE(Orders_Raw!G181,"$",""),"NGN",""),",","")),"")</f>
        <v>1297.57</v>
      </c>
      <c r="G181" s="4" t="str">
        <f aca="false">IF(F181="","No","Yes")</f>
        <v>Yes</v>
      </c>
      <c r="H181" s="4" t="str">
        <f aca="false">Orders_Raw!F181</f>
        <v>1</v>
      </c>
      <c r="I181" s="4" t="str">
        <f aca="false">IF(H181="","No",IF(H181&lt;=0,"No","Yes"))</f>
        <v>Yes</v>
      </c>
      <c r="J181" s="4" t="str">
        <f aca="false">Orders_Raw!E181</f>
        <v>Mouse</v>
      </c>
      <c r="K181" s="4" t="str">
        <f aca="false">Orders_Raw!H181</f>
        <v>2026-05-23 12:29</v>
      </c>
      <c r="L181" s="4" t="str">
        <f aca="false">IF(COUNTIF(Orders_Raw!$A$5:$A$539,A181)&gt;1,"YES","No")</f>
        <v>No</v>
      </c>
      <c r="M181" s="4" t="str">
        <f aca="false">IF(COUNTIFS($B$5:$B$539,B181,$D$5:$D$539,D181,$F$5:$F$539,F181)&gt;1,"YES","No")</f>
        <v>No</v>
      </c>
      <c r="N181" s="4" t="str">
        <f aca="false">IFERROR(INDEX(Customer_Master!$B$5:$B$64,MATCH(B181,Customer_Master!$A$5:$A$64,0)),"UNMATCHED")</f>
        <v>Amaka Yakubu</v>
      </c>
      <c r="O181" s="4" t="str">
        <f aca="false">IFERROR(INDEX(Customer_Master!$C$5:$C$64,MATCH(B181,Customer_Master!$A$5:$A$64,0)),"UNMATCHED")</f>
        <v>Lost / Low-Value</v>
      </c>
      <c r="P181" s="4" t="str">
        <f aca="false">IFERROR(INDEX(Customer_Master!$D$5:$D$64,MATCH(B181,Customer_Master!$A$5:$A$64,0)),"UNMATCHED")</f>
        <v>Kaduna</v>
      </c>
      <c r="Q181" s="4" t="str">
        <f aca="false">IF(N181="UNMATCHED","Unmatched","Matched")</f>
        <v>Matched</v>
      </c>
      <c r="R181" s="4" t="str">
        <f aca="false">IF(OR(E181="No",G181="No",I181="No",L181="YES",Q181="Unmatched"),"NEEDS REVIEW","OK")</f>
        <v>NEEDS REVIEW</v>
      </c>
    </row>
    <row r="182" customFormat="false" ht="15" hidden="false" customHeight="false" outlineLevel="0" collapsed="false">
      <c r="A182" s="4" t="str">
        <f aca="false">Orders_Raw!A182</f>
        <v>ORD00319</v>
      </c>
      <c r="B182" s="4" t="str">
        <f aca="false">TRIM(UPPER(Orders_Raw!B182))</f>
        <v>CUST0016</v>
      </c>
      <c r="C182" s="4" t="str">
        <f aca="false">PROPER(TRIM(Orders_Raw!C182))</f>
        <v>Chidi Ajayi</v>
      </c>
      <c r="D182" s="6" t="str">
        <f aca="false">IFERROR(DATEVALUE(Orders_Raw!D182),"")</f>
        <v/>
      </c>
      <c r="E182" s="4" t="str">
        <f aca="false">IF(D182="","No","Yes")</f>
        <v>No</v>
      </c>
      <c r="F182" s="4" t="n">
        <f aca="false">IFERROR(VALUE(SUBSTITUTE(SUBSTITUTE(SUBSTITUTE(Orders_Raw!G182,"$",""),"NGN",""),",","")),"")</f>
        <v>2143.62</v>
      </c>
      <c r="G182" s="4" t="str">
        <f aca="false">IF(F182="","No","Yes")</f>
        <v>Yes</v>
      </c>
      <c r="H182" s="4" t="str">
        <f aca="false">Orders_Raw!F182</f>
        <v>2</v>
      </c>
      <c r="I182" s="4" t="str">
        <f aca="false">IF(H182="","No",IF(H182&lt;=0,"No","Yes"))</f>
        <v>Yes</v>
      </c>
      <c r="J182" s="4" t="str">
        <f aca="false">Orders_Raw!E182</f>
        <v>Laptop</v>
      </c>
      <c r="K182" s="4" t="str">
        <f aca="false">Orders_Raw!H182</f>
        <v>2026-04-25 09:25</v>
      </c>
      <c r="L182" s="4" t="str">
        <f aca="false">IF(COUNTIF(Orders_Raw!$A$5:$A$539,A182)&gt;1,"YES","No")</f>
        <v>No</v>
      </c>
      <c r="M182" s="4" t="str">
        <f aca="false">IF(COUNTIFS($B$5:$B$539,B182,$D$5:$D$539,D182,$F$5:$F$539,F182)&gt;1,"YES","No")</f>
        <v>No</v>
      </c>
      <c r="N182" s="4" t="str">
        <f aca="false">IFERROR(INDEX(Customer_Master!$B$5:$B$64,MATCH(B182,Customer_Master!$A$5:$A$64,0)),"UNMATCHED")</f>
        <v>Chidi Ajayi</v>
      </c>
      <c r="O182" s="4" t="str">
        <f aca="false">IFERROR(INDEX(Customer_Master!$C$5:$C$64,MATCH(B182,Customer_Master!$A$5:$A$64,0)),"UNMATCHED")</f>
        <v>At Risk</v>
      </c>
      <c r="P182" s="4" t="str">
        <f aca="false">IFERROR(INDEX(Customer_Master!$D$5:$D$64,MATCH(B182,Customer_Master!$A$5:$A$64,0)),"UNMATCHED")</f>
        <v>Abuja</v>
      </c>
      <c r="Q182" s="4" t="str">
        <f aca="false">IF(N182="UNMATCHED","Unmatched","Matched")</f>
        <v>Matched</v>
      </c>
      <c r="R182" s="4" t="str">
        <f aca="false">IF(OR(E182="No",G182="No",I182="No",L182="YES",Q182="Unmatched"),"NEEDS REVIEW","OK")</f>
        <v>NEEDS REVIEW</v>
      </c>
    </row>
    <row r="183" customFormat="false" ht="15" hidden="false" customHeight="false" outlineLevel="0" collapsed="false">
      <c r="A183" s="4" t="str">
        <f aca="false">Orders_Raw!A183</f>
        <v>ORD00096</v>
      </c>
      <c r="B183" s="4" t="str">
        <f aca="false">TRIM(UPPER(Orders_Raw!B183))</f>
        <v>CUST0043</v>
      </c>
      <c r="C183" s="4" t="str">
        <f aca="false">PROPER(TRIM(Orders_Raw!C183))</f>
        <v>Grace Ajayi</v>
      </c>
      <c r="D183" s="6" t="n">
        <f aca="false">IFERROR(DATEVALUE(Orders_Raw!D183),"")</f>
        <v>46124</v>
      </c>
      <c r="E183" s="4" t="str">
        <f aca="false">IF(D183="","No","Yes")</f>
        <v>Yes</v>
      </c>
      <c r="F183" s="4" t="n">
        <f aca="false">IFERROR(VALUE(SUBSTITUTE(SUBSTITUTE(SUBSTITUTE(Orders_Raw!G183,"$",""),"NGN",""),",","")),"")</f>
        <v>151.13</v>
      </c>
      <c r="G183" s="4" t="str">
        <f aca="false">IF(F183="","No","Yes")</f>
        <v>Yes</v>
      </c>
      <c r="H183" s="4" t="str">
        <f aca="false">Orders_Raw!F183</f>
        <v>2</v>
      </c>
      <c r="I183" s="4" t="str">
        <f aca="false">IF(H183="","No",IF(H183&lt;=0,"No","Yes"))</f>
        <v>Yes</v>
      </c>
      <c r="J183" s="4" t="str">
        <f aca="false">Orders_Raw!E183</f>
        <v>Mouse</v>
      </c>
      <c r="K183" s="4" t="str">
        <f aca="false">Orders_Raw!H183</f>
        <v>2026-04-12 12:20</v>
      </c>
      <c r="L183" s="4" t="str">
        <f aca="false">IF(COUNTIF(Orders_Raw!$A$5:$A$539,A183)&gt;1,"YES","No")</f>
        <v>No</v>
      </c>
      <c r="M183" s="4" t="str">
        <f aca="false">IF(COUNTIFS($B$5:$B$539,B183,$D$5:$D$539,D183,$F$5:$F$539,F183)&gt;1,"YES","No")</f>
        <v>No</v>
      </c>
      <c r="N183" s="4" t="str">
        <f aca="false">IFERROR(INDEX(Customer_Master!$B$5:$B$64,MATCH(B183,Customer_Master!$A$5:$A$64,0)),"UNMATCHED")</f>
        <v>Grace Ajayi</v>
      </c>
      <c r="O183" s="4" t="str">
        <f aca="false">IFERROR(INDEX(Customer_Master!$C$5:$C$64,MATCH(B183,Customer_Master!$A$5:$A$64,0)),"UNMATCHED")</f>
        <v>New</v>
      </c>
      <c r="P183" s="4" t="str">
        <f aca="false">IFERROR(INDEX(Customer_Master!$D$5:$D$64,MATCH(B183,Customer_Master!$A$5:$A$64,0)),"UNMATCHED")</f>
        <v>Abuja</v>
      </c>
      <c r="Q183" s="4" t="str">
        <f aca="false">IF(N183="UNMATCHED","Unmatched","Matched")</f>
        <v>Matched</v>
      </c>
      <c r="R183" s="4" t="str">
        <f aca="false">IF(OR(E183="No",G183="No",I183="No",L183="YES",Q183="Unmatched"),"NEEDS REVIEW","OK")</f>
        <v>OK</v>
      </c>
    </row>
    <row r="184" customFormat="false" ht="15" hidden="false" customHeight="false" outlineLevel="0" collapsed="false">
      <c r="A184" s="4" t="str">
        <f aca="false">Orders_Raw!A184</f>
        <v>ORD00334</v>
      </c>
      <c r="B184" s="4" t="str">
        <f aca="false">TRIM(UPPER(Orders_Raw!B184))</f>
        <v>CUST0041</v>
      </c>
      <c r="C184" s="4" t="str">
        <f aca="false">PROPER(TRIM(Orders_Raw!C184))</f>
        <v>Kemi Umeh</v>
      </c>
      <c r="D184" s="6" t="n">
        <f aca="false">IFERROR(DATEVALUE(Orders_Raw!D184),"")</f>
        <v>46216</v>
      </c>
      <c r="E184" s="4" t="str">
        <f aca="false">IF(D184="","No","Yes")</f>
        <v>Yes</v>
      </c>
      <c r="F184" s="4" t="n">
        <f aca="false">IFERROR(VALUE(SUBSTITUTE(SUBSTITUTE(SUBSTITUTE(Orders_Raw!G184,"$",""),"NGN",""),",","")),"")</f>
        <v>1373.34</v>
      </c>
      <c r="G184" s="4" t="str">
        <f aca="false">IF(F184="","No","Yes")</f>
        <v>Yes</v>
      </c>
      <c r="H184" s="4" t="str">
        <f aca="false">Orders_Raw!F184</f>
        <v>1</v>
      </c>
      <c r="I184" s="4" t="str">
        <f aca="false">IF(H184="","No",IF(H184&lt;=0,"No","Yes"))</f>
        <v>Yes</v>
      </c>
      <c r="J184" s="4" t="str">
        <f aca="false">Orders_Raw!E184</f>
        <v>Mouse</v>
      </c>
      <c r="K184" s="4" t="str">
        <f aca="false">Orders_Raw!H184</f>
        <v>2026-07-13 15:11</v>
      </c>
      <c r="L184" s="4" t="str">
        <f aca="false">IF(COUNTIF(Orders_Raw!$A$5:$A$539,A184)&gt;1,"YES","No")</f>
        <v>No</v>
      </c>
      <c r="M184" s="4" t="str">
        <f aca="false">IF(COUNTIFS($B$5:$B$539,B184,$D$5:$D$539,D184,$F$5:$F$539,F184)&gt;1,"YES","No")</f>
        <v>No</v>
      </c>
      <c r="N184" s="4" t="str">
        <f aca="false">IFERROR(INDEX(Customer_Master!$B$5:$B$64,MATCH(B184,Customer_Master!$A$5:$A$64,0)),"UNMATCHED")</f>
        <v>Kemi Umeh</v>
      </c>
      <c r="O184" s="4" t="str">
        <f aca="false">IFERROR(INDEX(Customer_Master!$C$5:$C$64,MATCH(B184,Customer_Master!$A$5:$A$64,0)),"UNMATCHED")</f>
        <v>Lost / Low-Value</v>
      </c>
      <c r="P184" s="4" t="str">
        <f aca="false">IFERROR(INDEX(Customer_Master!$D$5:$D$64,MATCH(B184,Customer_Master!$A$5:$A$64,0)),"UNMATCHED")</f>
        <v>Lagos</v>
      </c>
      <c r="Q184" s="4" t="str">
        <f aca="false">IF(N184="UNMATCHED","Unmatched","Matched")</f>
        <v>Matched</v>
      </c>
      <c r="R184" s="4" t="str">
        <f aca="false">IF(OR(E184="No",G184="No",I184="No",L184="YES",Q184="Unmatched"),"NEEDS REVIEW","OK")</f>
        <v>OK</v>
      </c>
    </row>
    <row r="185" customFormat="false" ht="15" hidden="false" customHeight="false" outlineLevel="0" collapsed="false">
      <c r="A185" s="4" t="str">
        <f aca="false">Orders_Raw!A185</f>
        <v>ORD00445</v>
      </c>
      <c r="B185" s="4" t="str">
        <f aca="false">TRIM(UPPER(Orders_Raw!B185))</f>
        <v>CUST0035</v>
      </c>
      <c r="C185" s="4" t="str">
        <f aca="false">PROPER(TRIM(Orders_Raw!C185))</f>
        <v>Chidi Lawal</v>
      </c>
      <c r="D185" s="6" t="n">
        <f aca="false">IFERROR(DATEVALUE(Orders_Raw!D185),"")</f>
        <v>46171</v>
      </c>
      <c r="E185" s="4" t="str">
        <f aca="false">IF(D185="","No","Yes")</f>
        <v>Yes</v>
      </c>
      <c r="F185" s="4" t="n">
        <f aca="false">IFERROR(VALUE(SUBSTITUTE(SUBSTITUTE(SUBSTITUTE(Orders_Raw!G185,"$",""),"NGN",""),",","")),"")</f>
        <v>1714.86</v>
      </c>
      <c r="G185" s="4" t="str">
        <f aca="false">IF(F185="","No","Yes")</f>
        <v>Yes</v>
      </c>
      <c r="H185" s="4" t="str">
        <f aca="false">Orders_Raw!F185</f>
        <v>5</v>
      </c>
      <c r="I185" s="4" t="str">
        <f aca="false">IF(H185="","No",IF(H185&lt;=0,"No","Yes"))</f>
        <v>Yes</v>
      </c>
      <c r="J185" s="4" t="str">
        <f aca="false">Orders_Raw!E185</f>
        <v>Tablet</v>
      </c>
      <c r="K185" s="4" t="str">
        <f aca="false">Orders_Raw!H185</f>
        <v>2026-05-29 10:27</v>
      </c>
      <c r="L185" s="4" t="str">
        <f aca="false">IF(COUNTIF(Orders_Raw!$A$5:$A$539,A185)&gt;1,"YES","No")</f>
        <v>No</v>
      </c>
      <c r="M185" s="4" t="str">
        <f aca="false">IF(COUNTIFS($B$5:$B$539,B185,$D$5:$D$539,D185,$F$5:$F$539,F185)&gt;1,"YES","No")</f>
        <v>No</v>
      </c>
      <c r="N185" s="4" t="str">
        <f aca="false">IFERROR(INDEX(Customer_Master!$B$5:$B$64,MATCH(B185,Customer_Master!$A$5:$A$64,0)),"UNMATCHED")</f>
        <v>Chidi Lawal</v>
      </c>
      <c r="O185" s="4" t="str">
        <f aca="false">IFERROR(INDEX(Customer_Master!$C$5:$C$64,MATCH(B185,Customer_Master!$A$5:$A$64,0)),"UNMATCHED")</f>
        <v>New</v>
      </c>
      <c r="P185" s="4" t="str">
        <f aca="false">IFERROR(INDEX(Customer_Master!$D$5:$D$64,MATCH(B185,Customer_Master!$A$5:$A$64,0)),"UNMATCHED")</f>
        <v>Ibadan</v>
      </c>
      <c r="Q185" s="4" t="str">
        <f aca="false">IF(N185="UNMATCHED","Unmatched","Matched")</f>
        <v>Matched</v>
      </c>
      <c r="R185" s="4" t="str">
        <f aca="false">IF(OR(E185="No",G185="No",I185="No",L185="YES",Q185="Unmatched"),"NEEDS REVIEW","OK")</f>
        <v>OK</v>
      </c>
    </row>
    <row r="186" customFormat="false" ht="15" hidden="false" customHeight="false" outlineLevel="0" collapsed="false">
      <c r="A186" s="4" t="str">
        <f aca="false">Orders_Raw!A186</f>
        <v>ORD00067</v>
      </c>
      <c r="B186" s="4" t="str">
        <f aca="false">TRIM(UPPER(Orders_Raw!B186))</f>
        <v>CUST0020</v>
      </c>
      <c r="C186" s="4" t="str">
        <f aca="false">PROPER(TRIM(Orders_Raw!C186))</f>
        <v>Mary Okafor</v>
      </c>
      <c r="D186" s="6" t="str">
        <f aca="false">IFERROR(DATEVALUE(Orders_Raw!D186),"")</f>
        <v/>
      </c>
      <c r="E186" s="4" t="str">
        <f aca="false">IF(D186="","No","Yes")</f>
        <v>No</v>
      </c>
      <c r="F186" s="4" t="n">
        <f aca="false">IFERROR(VALUE(SUBSTITUTE(SUBSTITUTE(SUBSTITUTE(Orders_Raw!G186,"$",""),"NGN",""),",","")),"")</f>
        <v>744.02</v>
      </c>
      <c r="G186" s="4" t="str">
        <f aca="false">IF(F186="","No","Yes")</f>
        <v>Yes</v>
      </c>
      <c r="H186" s="4" t="str">
        <f aca="false">Orders_Raw!F186</f>
        <v>2</v>
      </c>
      <c r="I186" s="4" t="str">
        <f aca="false">IF(H186="","No",IF(H186&lt;=0,"No","Yes"))</f>
        <v>Yes</v>
      </c>
      <c r="J186" s="4" t="str">
        <f aca="false">Orders_Raw!E186</f>
        <v>Speaker</v>
      </c>
      <c r="K186" s="4" t="str">
        <f aca="false">Orders_Raw!H186</f>
        <v>2026-03-25 18:50</v>
      </c>
      <c r="L186" s="4" t="str">
        <f aca="false">IF(COUNTIF(Orders_Raw!$A$5:$A$539,A186)&gt;1,"YES","No")</f>
        <v>No</v>
      </c>
      <c r="M186" s="4" t="str">
        <f aca="false">IF(COUNTIFS($B$5:$B$539,B186,$D$5:$D$539,D186,$F$5:$F$539,F186)&gt;1,"YES","No")</f>
        <v>No</v>
      </c>
      <c r="N186" s="4" t="str">
        <f aca="false">IFERROR(INDEX(Customer_Master!$B$5:$B$64,MATCH(B186,Customer_Master!$A$5:$A$64,0)),"UNMATCHED")</f>
        <v>Mary Okafor</v>
      </c>
      <c r="O186" s="4" t="str">
        <f aca="false">IFERROR(INDEX(Customer_Master!$C$5:$C$64,MATCH(B186,Customer_Master!$A$5:$A$64,0)),"UNMATCHED")</f>
        <v>New</v>
      </c>
      <c r="P186" s="4" t="str">
        <f aca="false">IFERROR(INDEX(Customer_Master!$D$5:$D$64,MATCH(B186,Customer_Master!$A$5:$A$64,0)),"UNMATCHED")</f>
        <v>Port Harcourt</v>
      </c>
      <c r="Q186" s="4" t="str">
        <f aca="false">IF(N186="UNMATCHED","Unmatched","Matched")</f>
        <v>Matched</v>
      </c>
      <c r="R186" s="4" t="str">
        <f aca="false">IF(OR(E186="No",G186="No",I186="No",L186="YES",Q186="Unmatched"),"NEEDS REVIEW","OK")</f>
        <v>NEEDS REVIEW</v>
      </c>
    </row>
    <row r="187" customFormat="false" ht="15" hidden="false" customHeight="false" outlineLevel="0" collapsed="false">
      <c r="A187" s="4" t="str">
        <f aca="false">Orders_Raw!A187</f>
        <v>ORD00044</v>
      </c>
      <c r="B187" s="4" t="str">
        <f aca="false">TRIM(UPPER(Orders_Raw!B187))</f>
        <v>CUST0048</v>
      </c>
      <c r="C187" s="4" t="str">
        <f aca="false">PROPER(TRIM(Orders_Raw!C187))</f>
        <v>Musa Chukwu</v>
      </c>
      <c r="D187" s="6" t="n">
        <f aca="false">IFERROR(DATEVALUE(Orders_Raw!D187),"")</f>
        <v>46217</v>
      </c>
      <c r="E187" s="4" t="str">
        <f aca="false">IF(D187="","No","Yes")</f>
        <v>Yes</v>
      </c>
      <c r="F187" s="4" t="n">
        <f aca="false">IFERROR(VALUE(SUBSTITUTE(SUBSTITUTE(SUBSTITUTE(Orders_Raw!G187,"$",""),"NGN",""),",","")),"")</f>
        <v>1498.02</v>
      </c>
      <c r="G187" s="4" t="str">
        <f aca="false">IF(F187="","No","Yes")</f>
        <v>Yes</v>
      </c>
      <c r="H187" s="4" t="str">
        <f aca="false">Orders_Raw!F187</f>
        <v>5</v>
      </c>
      <c r="I187" s="4" t="str">
        <f aca="false">IF(H187="","No",IF(H187&lt;=0,"No","Yes"))</f>
        <v>Yes</v>
      </c>
      <c r="J187" s="4" t="str">
        <f aca="false">Orders_Raw!E187</f>
        <v>Headphones</v>
      </c>
      <c r="K187" s="4" t="str">
        <f aca="false">Orders_Raw!H187</f>
        <v>2026-07-14 12:00</v>
      </c>
      <c r="L187" s="4" t="str">
        <f aca="false">IF(COUNTIF(Orders_Raw!$A$5:$A$539,A187)&gt;1,"YES","No")</f>
        <v>No</v>
      </c>
      <c r="M187" s="4" t="str">
        <f aca="false">IF(COUNTIFS($B$5:$B$539,B187,$D$5:$D$539,D187,$F$5:$F$539,F187)&gt;1,"YES","No")</f>
        <v>No</v>
      </c>
      <c r="N187" s="4" t="str">
        <f aca="false">IFERROR(INDEX(Customer_Master!$B$5:$B$64,MATCH(B187,Customer_Master!$A$5:$A$64,0)),"UNMATCHED")</f>
        <v>Musa Chukwu</v>
      </c>
      <c r="O187" s="4" t="str">
        <f aca="false">IFERROR(INDEX(Customer_Master!$C$5:$C$64,MATCH(B187,Customer_Master!$A$5:$A$64,0)),"UNMATCHED")</f>
        <v>Lost / Low-Value</v>
      </c>
      <c r="P187" s="4" t="str">
        <f aca="false">IFERROR(INDEX(Customer_Master!$D$5:$D$64,MATCH(B187,Customer_Master!$A$5:$A$64,0)),"UNMATCHED")</f>
        <v>Kaduna</v>
      </c>
      <c r="Q187" s="4" t="str">
        <f aca="false">IF(N187="UNMATCHED","Unmatched","Matched")</f>
        <v>Matched</v>
      </c>
      <c r="R187" s="4" t="str">
        <f aca="false">IF(OR(E187="No",G187="No",I187="No",L187="YES",Q187="Unmatched"),"NEEDS REVIEW","OK")</f>
        <v>OK</v>
      </c>
    </row>
    <row r="188" customFormat="false" ht="15" hidden="false" customHeight="false" outlineLevel="0" collapsed="false">
      <c r="A188" s="4" t="str">
        <f aca="false">Orders_Raw!A188</f>
        <v>ORD00079</v>
      </c>
      <c r="B188" s="4" t="str">
        <f aca="false">TRIM(UPPER(Orders_Raw!B188))</f>
        <v>CUST0054</v>
      </c>
      <c r="C188" s="4" t="str">
        <f aca="false">PROPER(TRIM(Orders_Raw!C188))</f>
        <v>Samuel Ajayi</v>
      </c>
      <c r="D188" s="6" t="str">
        <f aca="false">IFERROR(DATEVALUE(Orders_Raw!D188),"")</f>
        <v/>
      </c>
      <c r="E188" s="4" t="str">
        <f aca="false">IF(D188="","No","Yes")</f>
        <v>No</v>
      </c>
      <c r="F188" s="4" t="n">
        <f aca="false">IFERROR(VALUE(SUBSTITUTE(SUBSTITUTE(SUBSTITUTE(Orders_Raw!G188,"$",""),"NGN",""),",","")),"")</f>
        <v>1730.35</v>
      </c>
      <c r="G188" s="4" t="str">
        <f aca="false">IF(F188="","No","Yes")</f>
        <v>Yes</v>
      </c>
      <c r="H188" s="4" t="str">
        <f aca="false">Orders_Raw!F188</f>
        <v>2</v>
      </c>
      <c r="I188" s="4" t="str">
        <f aca="false">IF(H188="","No",IF(H188&lt;=0,"No","Yes"))</f>
        <v>Yes</v>
      </c>
      <c r="J188" s="4" t="str">
        <f aca="false">Orders_Raw!E188</f>
        <v>Keyboard</v>
      </c>
      <c r="K188" s="4" t="str">
        <f aca="false">Orders_Raw!H188</f>
        <v>2026-03-13 09:43</v>
      </c>
      <c r="L188" s="4" t="str">
        <f aca="false">IF(COUNTIF(Orders_Raw!$A$5:$A$539,A188)&gt;1,"YES","No")</f>
        <v>No</v>
      </c>
      <c r="M188" s="4" t="str">
        <f aca="false">IF(COUNTIFS($B$5:$B$539,B188,$D$5:$D$539,D188,$F$5:$F$539,F188)&gt;1,"YES","No")</f>
        <v>No</v>
      </c>
      <c r="N188" s="4" t="str">
        <f aca="false">IFERROR(INDEX(Customer_Master!$B$5:$B$64,MATCH(B188,Customer_Master!$A$5:$A$64,0)),"UNMATCHED")</f>
        <v>Samuel Ajayi</v>
      </c>
      <c r="O188" s="4" t="str">
        <f aca="false">IFERROR(INDEX(Customer_Master!$C$5:$C$64,MATCH(B188,Customer_Master!$A$5:$A$64,0)),"UNMATCHED")</f>
        <v>At Risk</v>
      </c>
      <c r="P188" s="4" t="str">
        <f aca="false">IFERROR(INDEX(Customer_Master!$D$5:$D$64,MATCH(B188,Customer_Master!$A$5:$A$64,0)),"UNMATCHED")</f>
        <v>Kaduna</v>
      </c>
      <c r="Q188" s="4" t="str">
        <f aca="false">IF(N188="UNMATCHED","Unmatched","Matched")</f>
        <v>Matched</v>
      </c>
      <c r="R188" s="4" t="str">
        <f aca="false">IF(OR(E188="No",G188="No",I188="No",L188="YES",Q188="Unmatched"),"NEEDS REVIEW","OK")</f>
        <v>NEEDS REVIEW</v>
      </c>
    </row>
    <row r="189" customFormat="false" ht="15" hidden="false" customHeight="false" outlineLevel="0" collapsed="false">
      <c r="A189" s="4" t="str">
        <f aca="false">Orders_Raw!A189</f>
        <v>ORD00366</v>
      </c>
      <c r="B189" s="4" t="str">
        <f aca="false">TRIM(UPPER(Orders_Raw!B189))</f>
        <v>CUST0005</v>
      </c>
      <c r="C189" s="4" t="str">
        <f aca="false">PROPER(TRIM(Orders_Raw!C189))</f>
        <v>Tunde Nnamdi</v>
      </c>
      <c r="D189" s="6" t="n">
        <f aca="false">IFERROR(DATEVALUE(Orders_Raw!D189),"")</f>
        <v>46083</v>
      </c>
      <c r="E189" s="4" t="str">
        <f aca="false">IF(D189="","No","Yes")</f>
        <v>Yes</v>
      </c>
      <c r="F189" s="4" t="n">
        <f aca="false">IFERROR(VALUE(SUBSTITUTE(SUBSTITUTE(SUBSTITUTE(Orders_Raw!G189,"$",""),"NGN",""),",","")),"")</f>
        <v>56.16</v>
      </c>
      <c r="G189" s="4" t="str">
        <f aca="false">IF(F189="","No","Yes")</f>
        <v>Yes</v>
      </c>
      <c r="H189" s="4" t="str">
        <f aca="false">Orders_Raw!F189</f>
        <v>5</v>
      </c>
      <c r="I189" s="4" t="str">
        <f aca="false">IF(H189="","No",IF(H189&lt;=0,"No","Yes"))</f>
        <v>Yes</v>
      </c>
      <c r="J189" s="4" t="str">
        <f aca="false">Orders_Raw!E189</f>
        <v>Headphones</v>
      </c>
      <c r="K189" s="4" t="str">
        <f aca="false">Orders_Raw!H189</f>
        <v>2026-02-03 17:06</v>
      </c>
      <c r="L189" s="4" t="str">
        <f aca="false">IF(COUNTIF(Orders_Raw!$A$5:$A$539,A189)&gt;1,"YES","No")</f>
        <v>No</v>
      </c>
      <c r="M189" s="4" t="str">
        <f aca="false">IF(COUNTIFS($B$5:$B$539,B189,$D$5:$D$539,D189,$F$5:$F$539,F189)&gt;1,"YES","No")</f>
        <v>No</v>
      </c>
      <c r="N189" s="4" t="str">
        <f aca="false">IFERROR(INDEX(Customer_Master!$B$5:$B$64,MATCH(B189,Customer_Master!$A$5:$A$64,0)),"UNMATCHED")</f>
        <v>Tunde Nnamdi</v>
      </c>
      <c r="O189" s="4" t="str">
        <f aca="false">IFERROR(INDEX(Customer_Master!$C$5:$C$64,MATCH(B189,Customer_Master!$A$5:$A$64,0)),"UNMATCHED")</f>
        <v>New</v>
      </c>
      <c r="P189" s="4" t="str">
        <f aca="false">IFERROR(INDEX(Customer_Master!$D$5:$D$64,MATCH(B189,Customer_Master!$A$5:$A$64,0)),"UNMATCHED")</f>
        <v>Lagos</v>
      </c>
      <c r="Q189" s="4" t="str">
        <f aca="false">IF(N189="UNMATCHED","Unmatched","Matched")</f>
        <v>Matched</v>
      </c>
      <c r="R189" s="4" t="str">
        <f aca="false">IF(OR(E189="No",G189="No",I189="No",L189="YES",Q189="Unmatched"),"NEEDS REVIEW","OK")</f>
        <v>OK</v>
      </c>
    </row>
    <row r="190" customFormat="false" ht="15" hidden="false" customHeight="false" outlineLevel="0" collapsed="false">
      <c r="A190" s="4" t="str">
        <f aca="false">Orders_Raw!A190</f>
        <v>ORD00458</v>
      </c>
      <c r="B190" s="4" t="str">
        <f aca="false">TRIM(UPPER(Orders_Raw!B190))</f>
        <v>CUST0046</v>
      </c>
      <c r="C190" s="4" t="str">
        <f aca="false">PROPER(TRIM(Orders_Raw!C190))</f>
        <v>Fatima Nnamdi</v>
      </c>
      <c r="D190" s="6" t="n">
        <f aca="false">IFERROR(DATEVALUE(Orders_Raw!D190),"")</f>
        <v>46180</v>
      </c>
      <c r="E190" s="4" t="str">
        <f aca="false">IF(D190="","No","Yes")</f>
        <v>Yes</v>
      </c>
      <c r="F190" s="4" t="n">
        <f aca="false">IFERROR(VALUE(SUBSTITUTE(SUBSTITUTE(SUBSTITUTE(Orders_Raw!G190,"$",""),"NGN",""),",","")),"")</f>
        <v>732.62</v>
      </c>
      <c r="G190" s="4" t="str">
        <f aca="false">IF(F190="","No","Yes")</f>
        <v>Yes</v>
      </c>
      <c r="H190" s="4" t="str">
        <f aca="false">Orders_Raw!F190</f>
        <v>1</v>
      </c>
      <c r="I190" s="4" t="str">
        <f aca="false">IF(H190="","No",IF(H190&lt;=0,"No","Yes"))</f>
        <v>Yes</v>
      </c>
      <c r="J190" s="4" t="str">
        <f aca="false">Orders_Raw!E190</f>
        <v>Laptop</v>
      </c>
      <c r="K190" s="4" t="str">
        <f aca="false">Orders_Raw!H190</f>
        <v>2026-07-06 17:48</v>
      </c>
      <c r="L190" s="4" t="str">
        <f aca="false">IF(COUNTIF(Orders_Raw!$A$5:$A$539,A190)&gt;1,"YES","No")</f>
        <v>No</v>
      </c>
      <c r="M190" s="4" t="str">
        <f aca="false">IF(COUNTIFS($B$5:$B$539,B190,$D$5:$D$539,D190,$F$5:$F$539,F190)&gt;1,"YES","No")</f>
        <v>No</v>
      </c>
      <c r="N190" s="4" t="str">
        <f aca="false">IFERROR(INDEX(Customer_Master!$B$5:$B$64,MATCH(B190,Customer_Master!$A$5:$A$64,0)),"UNMATCHED")</f>
        <v>Fatima Nnamdi</v>
      </c>
      <c r="O190" s="4" t="str">
        <f aca="false">IFERROR(INDEX(Customer_Master!$C$5:$C$64,MATCH(B190,Customer_Master!$A$5:$A$64,0)),"UNMATCHED")</f>
        <v>New</v>
      </c>
      <c r="P190" s="4" t="str">
        <f aca="false">IFERROR(INDEX(Customer_Master!$D$5:$D$64,MATCH(B190,Customer_Master!$A$5:$A$64,0)),"UNMATCHED")</f>
        <v>Enugu</v>
      </c>
      <c r="Q190" s="4" t="str">
        <f aca="false">IF(N190="UNMATCHED","Unmatched","Matched")</f>
        <v>Matched</v>
      </c>
      <c r="R190" s="4" t="str">
        <f aca="false">IF(OR(E190="No",G190="No",I190="No",L190="YES",Q190="Unmatched"),"NEEDS REVIEW","OK")</f>
        <v>OK</v>
      </c>
    </row>
    <row r="191" customFormat="false" ht="15" hidden="false" customHeight="false" outlineLevel="0" collapsed="false">
      <c r="A191" s="4" t="str">
        <f aca="false">Orders_Raw!A191</f>
        <v>ORD00078</v>
      </c>
      <c r="B191" s="4" t="str">
        <f aca="false">TRIM(UPPER(Orders_Raw!B191))</f>
        <v>CUST0009</v>
      </c>
      <c r="C191" s="4" t="str">
        <f aca="false">PROPER(TRIM(Orders_Raw!C191))</f>
        <v>Victor Duru</v>
      </c>
      <c r="D191" s="6" t="n">
        <f aca="false">IFERROR(DATEVALUE(Orders_Raw!D191),"")</f>
        <v>46139</v>
      </c>
      <c r="E191" s="4" t="str">
        <f aca="false">IF(D191="","No","Yes")</f>
        <v>Yes</v>
      </c>
      <c r="F191" s="4" t="n">
        <f aca="false">IFERROR(VALUE(SUBSTITUTE(SUBSTITUTE(SUBSTITUTE(Orders_Raw!G191,"$",""),"NGN",""),",","")),"")</f>
        <v>1681.16</v>
      </c>
      <c r="G191" s="4" t="str">
        <f aca="false">IF(F191="","No","Yes")</f>
        <v>Yes</v>
      </c>
      <c r="H191" s="4" t="str">
        <f aca="false">Orders_Raw!F191</f>
        <v>2</v>
      </c>
      <c r="I191" s="4" t="str">
        <f aca="false">IF(H191="","No",IF(H191&lt;=0,"No","Yes"))</f>
        <v>Yes</v>
      </c>
      <c r="J191" s="4" t="str">
        <f aca="false">Orders_Raw!E191</f>
        <v>Monitor</v>
      </c>
      <c r="K191" s="4" t="str">
        <f aca="false">Orders_Raw!H191</f>
        <v>2026-04-27 18:06</v>
      </c>
      <c r="L191" s="4" t="str">
        <f aca="false">IF(COUNTIF(Orders_Raw!$A$5:$A$539,A191)&gt;1,"YES","No")</f>
        <v>No</v>
      </c>
      <c r="M191" s="4" t="str">
        <f aca="false">IF(COUNTIFS($B$5:$B$539,B191,$D$5:$D$539,D191,$F$5:$F$539,F191)&gt;1,"YES","No")</f>
        <v>No</v>
      </c>
      <c r="N191" s="4" t="str">
        <f aca="false">IFERROR(INDEX(Customer_Master!$B$5:$B$64,MATCH(B191,Customer_Master!$A$5:$A$64,0)),"UNMATCHED")</f>
        <v>Ngozi Sani</v>
      </c>
      <c r="O191" s="4" t="str">
        <f aca="false">IFERROR(INDEX(Customer_Master!$C$5:$C$64,MATCH(B191,Customer_Master!$A$5:$A$64,0)),"UNMATCHED")</f>
        <v>Loyal</v>
      </c>
      <c r="P191" s="4" t="str">
        <f aca="false">IFERROR(INDEX(Customer_Master!$D$5:$D$64,MATCH(B191,Customer_Master!$A$5:$A$64,0)),"UNMATCHED")</f>
        <v>Kano</v>
      </c>
      <c r="Q191" s="4" t="str">
        <f aca="false">IF(N191="UNMATCHED","Unmatched","Matched")</f>
        <v>Matched</v>
      </c>
      <c r="R191" s="4" t="str">
        <f aca="false">IF(OR(E191="No",G191="No",I191="No",L191="YES",Q191="Unmatched"),"NEEDS REVIEW","OK")</f>
        <v>OK</v>
      </c>
    </row>
    <row r="192" customFormat="false" ht="15" hidden="false" customHeight="false" outlineLevel="0" collapsed="false">
      <c r="A192" s="4" t="str">
        <f aca="false">Orders_Raw!A192</f>
        <v>ORD00412</v>
      </c>
      <c r="B192" s="4" t="str">
        <f aca="false">TRIM(UPPER(Orders_Raw!B192))</f>
        <v>CUST0026</v>
      </c>
      <c r="C192" s="4" t="str">
        <f aca="false">PROPER(TRIM(Orders_Raw!C192))</f>
        <v>Amaka Yakubu</v>
      </c>
      <c r="D192" s="6" t="n">
        <f aca="false">IFERROR(DATEVALUE(Orders_Raw!D192),"")</f>
        <v>46033</v>
      </c>
      <c r="E192" s="4" t="str">
        <f aca="false">IF(D192="","No","Yes")</f>
        <v>Yes</v>
      </c>
      <c r="F192" s="4" t="n">
        <f aca="false">IFERROR(VALUE(SUBSTITUTE(SUBSTITUTE(SUBSTITUTE(Orders_Raw!G192,"$",""),"NGN",""),",","")),"")</f>
        <v>1961.94</v>
      </c>
      <c r="G192" s="4" t="str">
        <f aca="false">IF(F192="","No","Yes")</f>
        <v>Yes</v>
      </c>
      <c r="H192" s="4" t="str">
        <f aca="false">Orders_Raw!F192</f>
        <v>4</v>
      </c>
      <c r="I192" s="4" t="str">
        <f aca="false">IF(H192="","No",IF(H192&lt;=0,"No","Yes"))</f>
        <v>Yes</v>
      </c>
      <c r="J192" s="4" t="str">
        <f aca="false">Orders_Raw!E192</f>
        <v>Phone</v>
      </c>
      <c r="K192" s="4" t="str">
        <f aca="false">Orders_Raw!H192</f>
        <v>2026-01-11 11:10</v>
      </c>
      <c r="L192" s="4" t="str">
        <f aca="false">IF(COUNTIF(Orders_Raw!$A$5:$A$539,A192)&gt;1,"YES","No")</f>
        <v>No</v>
      </c>
      <c r="M192" s="4" t="str">
        <f aca="false">IF(COUNTIFS($B$5:$B$539,B192,$D$5:$D$539,D192,$F$5:$F$539,F192)&gt;1,"YES","No")</f>
        <v>No</v>
      </c>
      <c r="N192" s="4" t="str">
        <f aca="false">IFERROR(INDEX(Customer_Master!$B$5:$B$64,MATCH(B192,Customer_Master!$A$5:$A$64,0)),"UNMATCHED")</f>
        <v>Amaka Yakubu</v>
      </c>
      <c r="O192" s="4" t="str">
        <f aca="false">IFERROR(INDEX(Customer_Master!$C$5:$C$64,MATCH(B192,Customer_Master!$A$5:$A$64,0)),"UNMATCHED")</f>
        <v>Lost / Low-Value</v>
      </c>
      <c r="P192" s="4" t="str">
        <f aca="false">IFERROR(INDEX(Customer_Master!$D$5:$D$64,MATCH(B192,Customer_Master!$A$5:$A$64,0)),"UNMATCHED")</f>
        <v>Kaduna</v>
      </c>
      <c r="Q192" s="4" t="str">
        <f aca="false">IF(N192="UNMATCHED","Unmatched","Matched")</f>
        <v>Matched</v>
      </c>
      <c r="R192" s="4" t="str">
        <f aca="false">IF(OR(E192="No",G192="No",I192="No",L192="YES",Q192="Unmatched"),"NEEDS REVIEW","OK")</f>
        <v>OK</v>
      </c>
    </row>
    <row r="193" customFormat="false" ht="15" hidden="false" customHeight="false" outlineLevel="0" collapsed="false">
      <c r="A193" s="4" t="str">
        <f aca="false">Orders_Raw!A193</f>
        <v>ORD00213</v>
      </c>
      <c r="B193" s="4" t="str">
        <f aca="false">TRIM(UPPER(Orders_Raw!B193))</f>
        <v>CUST0018</v>
      </c>
      <c r="C193" s="4" t="str">
        <f aca="false">PROPER(TRIM(Orders_Raw!C193))</f>
        <v>Fatima Okonkwo</v>
      </c>
      <c r="D193" s="6" t="str">
        <f aca="false">IFERROR(DATEVALUE(Orders_Raw!D193),"")</f>
        <v/>
      </c>
      <c r="E193" s="4" t="str">
        <f aca="false">IF(D193="","No","Yes")</f>
        <v>No</v>
      </c>
      <c r="F193" s="4" t="n">
        <f aca="false">IFERROR(VALUE(SUBSTITUTE(SUBSTITUTE(SUBSTITUTE(Orders_Raw!G193,"$",""),"NGN",""),",","")),"")</f>
        <v>2001.76</v>
      </c>
      <c r="G193" s="4" t="str">
        <f aca="false">IF(F193="","No","Yes")</f>
        <v>Yes</v>
      </c>
      <c r="H193" s="4" t="str">
        <f aca="false">Orders_Raw!F193</f>
        <v>1</v>
      </c>
      <c r="I193" s="4" t="str">
        <f aca="false">IF(H193="","No",IF(H193&lt;=0,"No","Yes"))</f>
        <v>Yes</v>
      </c>
      <c r="J193" s="4" t="str">
        <f aca="false">Orders_Raw!E193</f>
        <v>Phone</v>
      </c>
      <c r="K193" s="4" t="str">
        <f aca="false">Orders_Raw!H193</f>
        <v>2026-05-28 12:42</v>
      </c>
      <c r="L193" s="4" t="str">
        <f aca="false">IF(COUNTIF(Orders_Raw!$A$5:$A$539,A193)&gt;1,"YES","No")</f>
        <v>No</v>
      </c>
      <c r="M193" s="4" t="str">
        <f aca="false">IF(COUNTIFS($B$5:$B$539,B193,$D$5:$D$539,D193,$F$5:$F$539,F193)&gt;1,"YES","No")</f>
        <v>No</v>
      </c>
      <c r="N193" s="4" t="str">
        <f aca="false">IFERROR(INDEX(Customer_Master!$B$5:$B$64,MATCH(B193,Customer_Master!$A$5:$A$64,0)),"UNMATCHED")</f>
        <v>Fatima Okonkwo</v>
      </c>
      <c r="O193" s="4" t="str">
        <f aca="false">IFERROR(INDEX(Customer_Master!$C$5:$C$64,MATCH(B193,Customer_Master!$A$5:$A$64,0)),"UNMATCHED")</f>
        <v>At Risk</v>
      </c>
      <c r="P193" s="4" t="str">
        <f aca="false">IFERROR(INDEX(Customer_Master!$D$5:$D$64,MATCH(B193,Customer_Master!$A$5:$A$64,0)),"UNMATCHED")</f>
        <v>Port Harcourt</v>
      </c>
      <c r="Q193" s="4" t="str">
        <f aca="false">IF(N193="UNMATCHED","Unmatched","Matched")</f>
        <v>Matched</v>
      </c>
      <c r="R193" s="4" t="str">
        <f aca="false">IF(OR(E193="No",G193="No",I193="No",L193="YES",Q193="Unmatched"),"NEEDS REVIEW","OK")</f>
        <v>NEEDS REVIEW</v>
      </c>
    </row>
    <row r="194" customFormat="false" ht="15" hidden="false" customHeight="false" outlineLevel="0" collapsed="false">
      <c r="A194" s="4" t="str">
        <f aca="false">Orders_Raw!A194</f>
        <v>ORD00141</v>
      </c>
      <c r="B194" s="4" t="str">
        <f aca="false">TRIM(UPPER(Orders_Raw!B194))</f>
        <v>CUST0024</v>
      </c>
      <c r="C194" s="4" t="str">
        <f aca="false">PROPER(TRIM(Orders_Raw!C194))</f>
        <v>Aisha Adeyemi</v>
      </c>
      <c r="D194" s="6" t="n">
        <f aca="false">IFERROR(DATEVALUE(Orders_Raw!D194),"")</f>
        <v>46104</v>
      </c>
      <c r="E194" s="4" t="str">
        <f aca="false">IF(D194="","No","Yes")</f>
        <v>Yes</v>
      </c>
      <c r="F194" s="4" t="n">
        <f aca="false">IFERROR(VALUE(SUBSTITUTE(SUBSTITUTE(SUBSTITUTE(Orders_Raw!G194,"$",""),"NGN",""),",","")),"")</f>
        <v>1174.18</v>
      </c>
      <c r="G194" s="4" t="str">
        <f aca="false">IF(F194="","No","Yes")</f>
        <v>Yes</v>
      </c>
      <c r="H194" s="4" t="str">
        <f aca="false">Orders_Raw!F194</f>
        <v>2</v>
      </c>
      <c r="I194" s="4" t="str">
        <f aca="false">IF(H194="","No",IF(H194&lt;=0,"No","Yes"))</f>
        <v>Yes</v>
      </c>
      <c r="J194" s="4" t="str">
        <f aca="false">Orders_Raw!E194</f>
        <v>Mouse</v>
      </c>
      <c r="K194" s="4" t="str">
        <f aca="false">Orders_Raw!H194</f>
        <v>2026-03-23 14:55</v>
      </c>
      <c r="L194" s="4" t="str">
        <f aca="false">IF(COUNTIF(Orders_Raw!$A$5:$A$539,A194)&gt;1,"YES","No")</f>
        <v>YES</v>
      </c>
      <c r="M194" s="4" t="str">
        <f aca="false">IF(COUNTIFS($B$5:$B$539,B194,$D$5:$D$539,D194,$F$5:$F$539,F194)&gt;1,"YES","No")</f>
        <v>YES</v>
      </c>
      <c r="N194" s="4" t="str">
        <f aca="false">IFERROR(INDEX(Customer_Master!$B$5:$B$64,MATCH(B194,Customer_Master!$A$5:$A$64,0)),"UNMATCHED")</f>
        <v>Aisha Adeyemi</v>
      </c>
      <c r="O194" s="4" t="str">
        <f aca="false">IFERROR(INDEX(Customer_Master!$C$5:$C$64,MATCH(B194,Customer_Master!$A$5:$A$64,0)),"UNMATCHED")</f>
        <v>At Risk</v>
      </c>
      <c r="P194" s="4" t="str">
        <f aca="false">IFERROR(INDEX(Customer_Master!$D$5:$D$64,MATCH(B194,Customer_Master!$A$5:$A$64,0)),"UNMATCHED")</f>
        <v>Enugu</v>
      </c>
      <c r="Q194" s="4" t="str">
        <f aca="false">IF(N194="UNMATCHED","Unmatched","Matched")</f>
        <v>Matched</v>
      </c>
      <c r="R194" s="4" t="str">
        <f aca="false">IF(OR(E194="No",G194="No",I194="No",L194="YES",Q194="Unmatched"),"NEEDS REVIEW","OK")</f>
        <v>NEEDS REVIEW</v>
      </c>
    </row>
    <row r="195" customFormat="false" ht="15" hidden="false" customHeight="false" outlineLevel="0" collapsed="false">
      <c r="A195" s="4" t="str">
        <f aca="false">Orders_Raw!A195</f>
        <v>ORD00136</v>
      </c>
      <c r="B195" s="4" t="str">
        <f aca="false">TRIM(UPPER(Orders_Raw!B195))</f>
        <v>CUST0060</v>
      </c>
      <c r="C195" s="4" t="str">
        <f aca="false">PROPER(TRIM(Orders_Raw!C195))</f>
        <v>James Umeh</v>
      </c>
      <c r="D195" s="6" t="n">
        <f aca="false">IFERROR(DATEVALUE(Orders_Raw!D195),"")</f>
        <v>46155</v>
      </c>
      <c r="E195" s="4" t="str">
        <f aca="false">IF(D195="","No","Yes")</f>
        <v>Yes</v>
      </c>
      <c r="F195" s="4" t="n">
        <f aca="false">IFERROR(VALUE(SUBSTITUTE(SUBSTITUTE(SUBSTITUTE(Orders_Raw!G195,"$",""),"NGN",""),",","")),"")</f>
        <v>2117.15</v>
      </c>
      <c r="G195" s="4" t="str">
        <f aca="false">IF(F195="","No","Yes")</f>
        <v>Yes</v>
      </c>
      <c r="H195" s="4" t="str">
        <f aca="false">Orders_Raw!F195</f>
        <v>1</v>
      </c>
      <c r="I195" s="4" t="str">
        <f aca="false">IF(H195="","No",IF(H195&lt;=0,"No","Yes"))</f>
        <v>Yes</v>
      </c>
      <c r="J195" s="4" t="str">
        <f aca="false">Orders_Raw!E195</f>
        <v>Headphones</v>
      </c>
      <c r="K195" s="4" t="str">
        <f aca="false">Orders_Raw!H195</f>
        <v>2026-05-13 18:19</v>
      </c>
      <c r="L195" s="4" t="str">
        <f aca="false">IF(COUNTIF(Orders_Raw!$A$5:$A$539,A195)&gt;1,"YES","No")</f>
        <v>No</v>
      </c>
      <c r="M195" s="4" t="str">
        <f aca="false">IF(COUNTIFS($B$5:$B$539,B195,$D$5:$D$539,D195,$F$5:$F$539,F195)&gt;1,"YES","No")</f>
        <v>No</v>
      </c>
      <c r="N195" s="4" t="str">
        <f aca="false">IFERROR(INDEX(Customer_Master!$B$5:$B$64,MATCH(B195,Customer_Master!$A$5:$A$64,0)),"UNMATCHED")</f>
        <v>James Umeh</v>
      </c>
      <c r="O195" s="4" t="str">
        <f aca="false">IFERROR(INDEX(Customer_Master!$C$5:$C$64,MATCH(B195,Customer_Master!$A$5:$A$64,0)),"UNMATCHED")</f>
        <v>Champions</v>
      </c>
      <c r="P195" s="4" t="str">
        <f aca="false">IFERROR(INDEX(Customer_Master!$D$5:$D$64,MATCH(B195,Customer_Master!$A$5:$A$64,0)),"UNMATCHED")</f>
        <v>Kano</v>
      </c>
      <c r="Q195" s="4" t="str">
        <f aca="false">IF(N195="UNMATCHED","Unmatched","Matched")</f>
        <v>Matched</v>
      </c>
      <c r="R195" s="4" t="str">
        <f aca="false">IF(OR(E195="No",G195="No",I195="No",L195="YES",Q195="Unmatched"),"NEEDS REVIEW","OK")</f>
        <v>OK</v>
      </c>
    </row>
    <row r="196" customFormat="false" ht="15" hidden="false" customHeight="false" outlineLevel="0" collapsed="false">
      <c r="A196" s="4" t="str">
        <f aca="false">Orders_Raw!A196</f>
        <v>ORD00309</v>
      </c>
      <c r="B196" s="4" t="str">
        <f aca="false">TRIM(UPPER(Orders_Raw!B196))</f>
        <v>CUST0013</v>
      </c>
      <c r="C196" s="4" t="str">
        <f aca="false">PROPER(TRIM(Orders_Raw!C196))</f>
        <v>Joy Lawal</v>
      </c>
      <c r="D196" s="6" t="n">
        <f aca="false">IFERROR(DATEVALUE(Orders_Raw!D196),"")</f>
        <v>46156</v>
      </c>
      <c r="E196" s="4" t="str">
        <f aca="false">IF(D196="","No","Yes")</f>
        <v>Yes</v>
      </c>
      <c r="F196" s="4" t="n">
        <f aca="false">IFERROR(VALUE(SUBSTITUTE(SUBSTITUTE(SUBSTITUTE(Orders_Raw!G196,"$",""),"NGN",""),",","")),"")</f>
        <v>904.44</v>
      </c>
      <c r="G196" s="4" t="str">
        <f aca="false">IF(F196="","No","Yes")</f>
        <v>Yes</v>
      </c>
      <c r="H196" s="4" t="str">
        <f aca="false">Orders_Raw!F196</f>
        <v>2</v>
      </c>
      <c r="I196" s="4" t="str">
        <f aca="false">IF(H196="","No",IF(H196&lt;=0,"No","Yes"))</f>
        <v>Yes</v>
      </c>
      <c r="J196" s="4" t="str">
        <f aca="false">Orders_Raw!E196</f>
        <v>Charger</v>
      </c>
      <c r="K196" s="4" t="str">
        <f aca="false">Orders_Raw!H196</f>
        <v>2026-05-14 15:21</v>
      </c>
      <c r="L196" s="4" t="str">
        <f aca="false">IF(COUNTIF(Orders_Raw!$A$5:$A$539,A196)&gt;1,"YES","No")</f>
        <v>No</v>
      </c>
      <c r="M196" s="4" t="str">
        <f aca="false">IF(COUNTIFS($B$5:$B$539,B196,$D$5:$D$539,D196,$F$5:$F$539,F196)&gt;1,"YES","No")</f>
        <v>No</v>
      </c>
      <c r="N196" s="4" t="str">
        <f aca="false">IFERROR(INDEX(Customer_Master!$B$5:$B$64,MATCH(B196,Customer_Master!$A$5:$A$64,0)),"UNMATCHED")</f>
        <v>Joy Lawal</v>
      </c>
      <c r="O196" s="4" t="str">
        <f aca="false">IFERROR(INDEX(Customer_Master!$C$5:$C$64,MATCH(B196,Customer_Master!$A$5:$A$64,0)),"UNMATCHED")</f>
        <v>Lost / Low-Value</v>
      </c>
      <c r="P196" s="4" t="str">
        <f aca="false">IFERROR(INDEX(Customer_Master!$D$5:$D$64,MATCH(B196,Customer_Master!$A$5:$A$64,0)),"UNMATCHED")</f>
        <v>Abuja</v>
      </c>
      <c r="Q196" s="4" t="str">
        <f aca="false">IF(N196="UNMATCHED","Unmatched","Matched")</f>
        <v>Matched</v>
      </c>
      <c r="R196" s="4" t="str">
        <f aca="false">IF(OR(E196="No",G196="No",I196="No",L196="YES",Q196="Unmatched"),"NEEDS REVIEW","OK")</f>
        <v>OK</v>
      </c>
    </row>
    <row r="197" customFormat="false" ht="15" hidden="false" customHeight="false" outlineLevel="0" collapsed="false">
      <c r="A197" s="4" t="str">
        <f aca="false">Orders_Raw!A197</f>
        <v>ORD00305</v>
      </c>
      <c r="B197" s="4" t="str">
        <f aca="false">TRIM(UPPER(Orders_Raw!B197))</f>
        <v>CUST0059</v>
      </c>
      <c r="C197" s="4" t="str">
        <f aca="false">PROPER(TRIM(Orders_Raw!C197))</f>
        <v>Chidi Lawal</v>
      </c>
      <c r="D197" s="6" t="n">
        <f aca="false">IFERROR(DATEVALUE(Orders_Raw!D197),"")</f>
        <v>46081</v>
      </c>
      <c r="E197" s="4" t="str">
        <f aca="false">IF(D197="","No","Yes")</f>
        <v>Yes</v>
      </c>
      <c r="F197" s="4" t="n">
        <f aca="false">IFERROR(VALUE(SUBSTITUTE(SUBSTITUTE(SUBSTITUTE(Orders_Raw!G197,"$",""),"NGN",""),",","")),"")</f>
        <v>1822.01</v>
      </c>
      <c r="G197" s="4" t="str">
        <f aca="false">IF(F197="","No","Yes")</f>
        <v>Yes</v>
      </c>
      <c r="H197" s="4" t="str">
        <f aca="false">Orders_Raw!F197</f>
        <v>1</v>
      </c>
      <c r="I197" s="4" t="str">
        <f aca="false">IF(H197="","No",IF(H197&lt;=0,"No","Yes"))</f>
        <v>Yes</v>
      </c>
      <c r="J197" s="4" t="str">
        <f aca="false">Orders_Raw!E197</f>
        <v>Headphones</v>
      </c>
      <c r="K197" s="4" t="str">
        <f aca="false">Orders_Raw!H197</f>
        <v>2026-02-28 09:23</v>
      </c>
      <c r="L197" s="4" t="str">
        <f aca="false">IF(COUNTIF(Orders_Raw!$A$5:$A$539,A197)&gt;1,"YES","No")</f>
        <v>No</v>
      </c>
      <c r="M197" s="4" t="str">
        <f aca="false">IF(COUNTIFS($B$5:$B$539,B197,$D$5:$D$539,D197,$F$5:$F$539,F197)&gt;1,"YES","No")</f>
        <v>No</v>
      </c>
      <c r="N197" s="4" t="str">
        <f aca="false">IFERROR(INDEX(Customer_Master!$B$5:$B$64,MATCH(B197,Customer_Master!$A$5:$A$64,0)),"UNMATCHED")</f>
        <v>Chidi Lawal</v>
      </c>
      <c r="O197" s="4" t="str">
        <f aca="false">IFERROR(INDEX(Customer_Master!$C$5:$C$64,MATCH(B197,Customer_Master!$A$5:$A$64,0)),"UNMATCHED")</f>
        <v>Champions</v>
      </c>
      <c r="P197" s="4" t="str">
        <f aca="false">IFERROR(INDEX(Customer_Master!$D$5:$D$64,MATCH(B197,Customer_Master!$A$5:$A$64,0)),"UNMATCHED")</f>
        <v>Enugu</v>
      </c>
      <c r="Q197" s="4" t="str">
        <f aca="false">IF(N197="UNMATCHED","Unmatched","Matched")</f>
        <v>Matched</v>
      </c>
      <c r="R197" s="4" t="str">
        <f aca="false">IF(OR(E197="No",G197="No",I197="No",L197="YES",Q197="Unmatched"),"NEEDS REVIEW","OK")</f>
        <v>OK</v>
      </c>
    </row>
    <row r="198" customFormat="false" ht="15" hidden="false" customHeight="false" outlineLevel="0" collapsed="false">
      <c r="A198" s="4" t="str">
        <f aca="false">Orders_Raw!A198</f>
        <v>ORD00302</v>
      </c>
      <c r="B198" s="4" t="str">
        <f aca="false">TRIM(UPPER(Orders_Raw!B198))</f>
        <v>CUST0041</v>
      </c>
      <c r="C198" s="4" t="str">
        <f aca="false">PROPER(TRIM(Orders_Raw!C198))</f>
        <v>Kemi Umeh</v>
      </c>
      <c r="D198" s="6" t="n">
        <f aca="false">IFERROR(DATEVALUE(Orders_Raw!D198),"")</f>
        <v>46086</v>
      </c>
      <c r="E198" s="4" t="str">
        <f aca="false">IF(D198="","No","Yes")</f>
        <v>Yes</v>
      </c>
      <c r="F198" s="4" t="n">
        <f aca="false">IFERROR(VALUE(SUBSTITUTE(SUBSTITUTE(SUBSTITUTE(Orders_Raw!G198,"$",""),"NGN",""),",","")),"")</f>
        <v>26.6</v>
      </c>
      <c r="G198" s="4" t="str">
        <f aca="false">IF(F198="","No","Yes")</f>
        <v>Yes</v>
      </c>
      <c r="H198" s="4" t="str">
        <f aca="false">Orders_Raw!F198</f>
        <v>1</v>
      </c>
      <c r="I198" s="4" t="str">
        <f aca="false">IF(H198="","No",IF(H198&lt;=0,"No","Yes"))</f>
        <v>Yes</v>
      </c>
      <c r="J198" s="4" t="str">
        <f aca="false">Orders_Raw!E198</f>
        <v>Keyboard</v>
      </c>
      <c r="K198" s="4" t="str">
        <f aca="false">Orders_Raw!H198</f>
        <v>2026-05-03 16:12</v>
      </c>
      <c r="L198" s="4" t="str">
        <f aca="false">IF(COUNTIF(Orders_Raw!$A$5:$A$539,A198)&gt;1,"YES","No")</f>
        <v>No</v>
      </c>
      <c r="M198" s="4" t="str">
        <f aca="false">IF(COUNTIFS($B$5:$B$539,B198,$D$5:$D$539,D198,$F$5:$F$539,F198)&gt;1,"YES","No")</f>
        <v>No</v>
      </c>
      <c r="N198" s="4" t="str">
        <f aca="false">IFERROR(INDEX(Customer_Master!$B$5:$B$64,MATCH(B198,Customer_Master!$A$5:$A$64,0)),"UNMATCHED")</f>
        <v>Kemi Umeh</v>
      </c>
      <c r="O198" s="4" t="str">
        <f aca="false">IFERROR(INDEX(Customer_Master!$C$5:$C$64,MATCH(B198,Customer_Master!$A$5:$A$64,0)),"UNMATCHED")</f>
        <v>Lost / Low-Value</v>
      </c>
      <c r="P198" s="4" t="str">
        <f aca="false">IFERROR(INDEX(Customer_Master!$D$5:$D$64,MATCH(B198,Customer_Master!$A$5:$A$64,0)),"UNMATCHED")</f>
        <v>Lagos</v>
      </c>
      <c r="Q198" s="4" t="str">
        <f aca="false">IF(N198="UNMATCHED","Unmatched","Matched")</f>
        <v>Matched</v>
      </c>
      <c r="R198" s="4" t="str">
        <f aca="false">IF(OR(E198="No",G198="No",I198="No",L198="YES",Q198="Unmatched"),"NEEDS REVIEW","OK")</f>
        <v>OK</v>
      </c>
    </row>
    <row r="199" customFormat="false" ht="15" hidden="false" customHeight="false" outlineLevel="0" collapsed="false">
      <c r="A199" s="4" t="str">
        <f aca="false">Orders_Raw!A199</f>
        <v>ORD00125</v>
      </c>
      <c r="B199" s="4" t="str">
        <f aca="false">TRIM(UPPER(Orders_Raw!B199))</f>
        <v>CUST0032</v>
      </c>
      <c r="C199" s="4" t="str">
        <f aca="false">PROPER(TRIM(Orders_Raw!C199))</f>
        <v>Ola Obi</v>
      </c>
      <c r="D199" s="6" t="n">
        <f aca="false">IFERROR(DATEVALUE(Orders_Raw!D199),"")</f>
        <v>46155</v>
      </c>
      <c r="E199" s="4" t="str">
        <f aca="false">IF(D199="","No","Yes")</f>
        <v>Yes</v>
      </c>
      <c r="F199" s="4" t="n">
        <f aca="false">IFERROR(VALUE(SUBSTITUTE(SUBSTITUTE(SUBSTITUTE(Orders_Raw!G199,"$",""),"NGN",""),",","")),"")</f>
        <v>2005.85</v>
      </c>
      <c r="G199" s="4" t="str">
        <f aca="false">IF(F199="","No","Yes")</f>
        <v>Yes</v>
      </c>
      <c r="H199" s="4" t="str">
        <f aca="false">Orders_Raw!F199</f>
        <v>1</v>
      </c>
      <c r="I199" s="4" t="str">
        <f aca="false">IF(H199="","No",IF(H199&lt;=0,"No","Yes"))</f>
        <v>Yes</v>
      </c>
      <c r="J199" s="4" t="str">
        <f aca="false">Orders_Raw!E199</f>
        <v>Headphones</v>
      </c>
      <c r="K199" s="4" t="str">
        <f aca="false">Orders_Raw!H199</f>
        <v>2026-05-13 16:18</v>
      </c>
      <c r="L199" s="4" t="str">
        <f aca="false">IF(COUNTIF(Orders_Raw!$A$5:$A$539,A199)&gt;1,"YES","No")</f>
        <v>No</v>
      </c>
      <c r="M199" s="4" t="str">
        <f aca="false">IF(COUNTIFS($B$5:$B$539,B199,$D$5:$D$539,D199,$F$5:$F$539,F199)&gt;1,"YES","No")</f>
        <v>No</v>
      </c>
      <c r="N199" s="4" t="str">
        <f aca="false">IFERROR(INDEX(Customer_Master!$B$5:$B$64,MATCH(B199,Customer_Master!$A$5:$A$64,0)),"UNMATCHED")</f>
        <v>Ola Obi</v>
      </c>
      <c r="O199" s="4" t="str">
        <f aca="false">IFERROR(INDEX(Customer_Master!$C$5:$C$64,MATCH(B199,Customer_Master!$A$5:$A$64,0)),"UNMATCHED")</f>
        <v>Lost / Low-Value</v>
      </c>
      <c r="P199" s="4" t="str">
        <f aca="false">IFERROR(INDEX(Customer_Master!$D$5:$D$64,MATCH(B199,Customer_Master!$A$5:$A$64,0)),"UNMATCHED")</f>
        <v>Abuja</v>
      </c>
      <c r="Q199" s="4" t="str">
        <f aca="false">IF(N199="UNMATCHED","Unmatched","Matched")</f>
        <v>Matched</v>
      </c>
      <c r="R199" s="4" t="str">
        <f aca="false">IF(OR(E199="No",G199="No",I199="No",L199="YES",Q199="Unmatched"),"NEEDS REVIEW","OK")</f>
        <v>OK</v>
      </c>
    </row>
    <row r="200" customFormat="false" ht="15" hidden="false" customHeight="false" outlineLevel="0" collapsed="false">
      <c r="A200" s="4" t="str">
        <f aca="false">Orders_Raw!A200</f>
        <v>ORD00084</v>
      </c>
      <c r="B200" s="4" t="str">
        <f aca="false">TRIM(UPPER(Orders_Raw!B200))</f>
        <v>CUST0027</v>
      </c>
      <c r="C200" s="4" t="str">
        <f aca="false">PROPER(TRIM(Orders_Raw!C200))</f>
        <v>Yusuf Sani</v>
      </c>
      <c r="D200" s="6" t="n">
        <f aca="false">IFERROR(DATEVALUE(Orders_Raw!D200),"")</f>
        <v>46058</v>
      </c>
      <c r="E200" s="4" t="str">
        <f aca="false">IF(D200="","No","Yes")</f>
        <v>Yes</v>
      </c>
      <c r="F200" s="4" t="n">
        <f aca="false">IFERROR(VALUE(SUBSTITUTE(SUBSTITUTE(SUBSTITUTE(Orders_Raw!G200,"$",""),"NGN",""),",","")),"")</f>
        <v>1948.37</v>
      </c>
      <c r="G200" s="4" t="str">
        <f aca="false">IF(F200="","No","Yes")</f>
        <v>Yes</v>
      </c>
      <c r="H200" s="4" t="str">
        <f aca="false">Orders_Raw!F200</f>
        <v>3</v>
      </c>
      <c r="I200" s="4" t="str">
        <f aca="false">IF(H200="","No",IF(H200&lt;=0,"No","Yes"))</f>
        <v>Yes</v>
      </c>
      <c r="J200" s="4" t="str">
        <f aca="false">Orders_Raw!E200</f>
        <v>Speaker</v>
      </c>
      <c r="K200" s="4" t="str">
        <f aca="false">Orders_Raw!H200</f>
        <v>2026-05-02 08:46</v>
      </c>
      <c r="L200" s="4" t="str">
        <f aca="false">IF(COUNTIF(Orders_Raw!$A$5:$A$539,A200)&gt;1,"YES","No")</f>
        <v>No</v>
      </c>
      <c r="M200" s="4" t="str">
        <f aca="false">IF(COUNTIFS($B$5:$B$539,B200,$D$5:$D$539,D200,$F$5:$F$539,F200)&gt;1,"YES","No")</f>
        <v>No</v>
      </c>
      <c r="N200" s="4" t="str">
        <f aca="false">IFERROR(INDEX(Customer_Master!$B$5:$B$64,MATCH(B200,Customer_Master!$A$5:$A$64,0)),"UNMATCHED")</f>
        <v>Yusuf Sani</v>
      </c>
      <c r="O200" s="4" t="str">
        <f aca="false">IFERROR(INDEX(Customer_Master!$C$5:$C$64,MATCH(B200,Customer_Master!$A$5:$A$64,0)),"UNMATCHED")</f>
        <v>Loyal</v>
      </c>
      <c r="P200" s="4" t="str">
        <f aca="false">IFERROR(INDEX(Customer_Master!$D$5:$D$64,MATCH(B200,Customer_Master!$A$5:$A$64,0)),"UNMATCHED")</f>
        <v>Kano</v>
      </c>
      <c r="Q200" s="4" t="str">
        <f aca="false">IF(N200="UNMATCHED","Unmatched","Matched")</f>
        <v>Matched</v>
      </c>
      <c r="R200" s="4" t="str">
        <f aca="false">IF(OR(E200="No",G200="No",I200="No",L200="YES",Q200="Unmatched"),"NEEDS REVIEW","OK")</f>
        <v>OK</v>
      </c>
    </row>
    <row r="201" customFormat="false" ht="15" hidden="false" customHeight="false" outlineLevel="0" collapsed="false">
      <c r="A201" s="4" t="str">
        <f aca="false">Orders_Raw!A201</f>
        <v>ORD00203</v>
      </c>
      <c r="B201" s="4" t="str">
        <f aca="false">TRIM(UPPER(Orders_Raw!B201))</f>
        <v>CUST0016</v>
      </c>
      <c r="C201" s="4" t="str">
        <f aca="false">PROPER(TRIM(Orders_Raw!C201))</f>
        <v>Chidi Ajayi</v>
      </c>
      <c r="D201" s="6" t="n">
        <f aca="false">IFERROR(DATEVALUE(Orders_Raw!D201),"")</f>
        <v>46123</v>
      </c>
      <c r="E201" s="4" t="str">
        <f aca="false">IF(D201="","No","Yes")</f>
        <v>Yes</v>
      </c>
      <c r="F201" s="4" t="n">
        <f aca="false">IFERROR(VALUE(SUBSTITUTE(SUBSTITUTE(SUBSTITUTE(Orders_Raw!G201,"$",""),"NGN",""),",","")),"")</f>
        <v>298.01</v>
      </c>
      <c r="G201" s="4" t="str">
        <f aca="false">IF(F201="","No","Yes")</f>
        <v>Yes</v>
      </c>
      <c r="H201" s="4" t="str">
        <f aca="false">Orders_Raw!F201</f>
        <v>1</v>
      </c>
      <c r="I201" s="4" t="str">
        <f aca="false">IF(H201="","No",IF(H201&lt;=0,"No","Yes"))</f>
        <v>Yes</v>
      </c>
      <c r="J201" s="4" t="str">
        <f aca="false">Orders_Raw!E201</f>
        <v>Tablet</v>
      </c>
      <c r="K201" s="4" t="str">
        <f aca="false">Orders_Raw!H201</f>
        <v>2026-04-11 08:46</v>
      </c>
      <c r="L201" s="4" t="str">
        <f aca="false">IF(COUNTIF(Orders_Raw!$A$5:$A$539,A201)&gt;1,"YES","No")</f>
        <v>No</v>
      </c>
      <c r="M201" s="4" t="str">
        <f aca="false">IF(COUNTIFS($B$5:$B$539,B201,$D$5:$D$539,D201,$F$5:$F$539,F201)&gt;1,"YES","No")</f>
        <v>No</v>
      </c>
      <c r="N201" s="4" t="str">
        <f aca="false">IFERROR(INDEX(Customer_Master!$B$5:$B$64,MATCH(B201,Customer_Master!$A$5:$A$64,0)),"UNMATCHED")</f>
        <v>Chidi Ajayi</v>
      </c>
      <c r="O201" s="4" t="str">
        <f aca="false">IFERROR(INDEX(Customer_Master!$C$5:$C$64,MATCH(B201,Customer_Master!$A$5:$A$64,0)),"UNMATCHED")</f>
        <v>At Risk</v>
      </c>
      <c r="P201" s="4" t="str">
        <f aca="false">IFERROR(INDEX(Customer_Master!$D$5:$D$64,MATCH(B201,Customer_Master!$A$5:$A$64,0)),"UNMATCHED")</f>
        <v>Abuja</v>
      </c>
      <c r="Q201" s="4" t="str">
        <f aca="false">IF(N201="UNMATCHED","Unmatched","Matched")</f>
        <v>Matched</v>
      </c>
      <c r="R201" s="4" t="str">
        <f aca="false">IF(OR(E201="No",G201="No",I201="No",L201="YES",Q201="Unmatched"),"NEEDS REVIEW","OK")</f>
        <v>OK</v>
      </c>
    </row>
    <row r="202" customFormat="false" ht="15" hidden="false" customHeight="false" outlineLevel="0" collapsed="false">
      <c r="A202" s="4" t="str">
        <f aca="false">Orders_Raw!A202</f>
        <v>ORD00451</v>
      </c>
      <c r="B202" s="4" t="str">
        <f aca="false">TRIM(UPPER(Orders_Raw!B202))</f>
        <v>CUST0045</v>
      </c>
      <c r="C202" s="4" t="str">
        <f aca="false">PROPER(TRIM(Orders_Raw!C202))</f>
        <v>Yusuf Yakubu</v>
      </c>
      <c r="D202" s="6" t="n">
        <f aca="false">IFERROR(DATEVALUE(Orders_Raw!D202),"")</f>
        <v>46145</v>
      </c>
      <c r="E202" s="4" t="str">
        <f aca="false">IF(D202="","No","Yes")</f>
        <v>Yes</v>
      </c>
      <c r="F202" s="4" t="n">
        <f aca="false">IFERROR(VALUE(SUBSTITUTE(SUBSTITUTE(SUBSTITUTE(Orders_Raw!G202,"$",""),"NGN",""),",","")),"")</f>
        <v>1021.09</v>
      </c>
      <c r="G202" s="4" t="str">
        <f aca="false">IF(F202="","No","Yes")</f>
        <v>Yes</v>
      </c>
      <c r="H202" s="4" t="str">
        <f aca="false">Orders_Raw!F202</f>
        <v>3</v>
      </c>
      <c r="I202" s="4" t="str">
        <f aca="false">IF(H202="","No",IF(H202&lt;=0,"No","Yes"))</f>
        <v>Yes</v>
      </c>
      <c r="J202" s="4" t="str">
        <f aca="false">Orders_Raw!E202</f>
        <v>Keyboard</v>
      </c>
      <c r="K202" s="4" t="str">
        <f aca="false">Orders_Raw!H202</f>
        <v>2026-03-05 14:39</v>
      </c>
      <c r="L202" s="4" t="str">
        <f aca="false">IF(COUNTIF(Orders_Raw!$A$5:$A$539,A202)&gt;1,"YES","No")</f>
        <v>No</v>
      </c>
      <c r="M202" s="4" t="str">
        <f aca="false">IF(COUNTIFS($B$5:$B$539,B202,$D$5:$D$539,D202,$F$5:$F$539,F202)&gt;1,"YES","No")</f>
        <v>No</v>
      </c>
      <c r="N202" s="4" t="str">
        <f aca="false">IFERROR(INDEX(Customer_Master!$B$5:$B$64,MATCH(B202,Customer_Master!$A$5:$A$64,0)),"UNMATCHED")</f>
        <v>Yusuf Yakubu</v>
      </c>
      <c r="O202" s="4" t="str">
        <f aca="false">IFERROR(INDEX(Customer_Master!$C$5:$C$64,MATCH(B202,Customer_Master!$A$5:$A$64,0)),"UNMATCHED")</f>
        <v>New</v>
      </c>
      <c r="P202" s="4" t="str">
        <f aca="false">IFERROR(INDEX(Customer_Master!$D$5:$D$64,MATCH(B202,Customer_Master!$A$5:$A$64,0)),"UNMATCHED")</f>
        <v>Port Harcourt</v>
      </c>
      <c r="Q202" s="4" t="str">
        <f aca="false">IF(N202="UNMATCHED","Unmatched","Matched")</f>
        <v>Matched</v>
      </c>
      <c r="R202" s="4" t="str">
        <f aca="false">IF(OR(E202="No",G202="No",I202="No",L202="YES",Q202="Unmatched"),"NEEDS REVIEW","OK")</f>
        <v>OK</v>
      </c>
    </row>
    <row r="203" customFormat="false" ht="15" hidden="false" customHeight="false" outlineLevel="0" collapsed="false">
      <c r="A203" s="4" t="str">
        <f aca="false">Orders_Raw!A203</f>
        <v>ORD00372</v>
      </c>
      <c r="B203" s="4" t="str">
        <f aca="false">TRIM(UPPER(Orders_Raw!B203))</f>
        <v>CUST0036</v>
      </c>
      <c r="C203" s="4" t="str">
        <f aca="false">PROPER(TRIM(Orders_Raw!C203))</f>
        <v>Esther Umeh</v>
      </c>
      <c r="D203" s="6" t="n">
        <f aca="false">IFERROR(DATEVALUE(Orders_Raw!D203),"")</f>
        <v>46068</v>
      </c>
      <c r="E203" s="4" t="str">
        <f aca="false">IF(D203="","No","Yes")</f>
        <v>Yes</v>
      </c>
      <c r="F203" s="4" t="n">
        <f aca="false">IFERROR(VALUE(SUBSTITUTE(SUBSTITUTE(SUBSTITUTE(Orders_Raw!G203,"$",""),"NGN",""),",","")),"")</f>
        <v>1404.35</v>
      </c>
      <c r="G203" s="4" t="str">
        <f aca="false">IF(F203="","No","Yes")</f>
        <v>Yes</v>
      </c>
      <c r="H203" s="4" t="str">
        <f aca="false">Orders_Raw!F203</f>
        <v>2</v>
      </c>
      <c r="I203" s="4" t="str">
        <f aca="false">IF(H203="","No",IF(H203&lt;=0,"No","Yes"))</f>
        <v>Yes</v>
      </c>
      <c r="J203" s="4" t="str">
        <f aca="false">Orders_Raw!E203</f>
        <v>Monitor</v>
      </c>
      <c r="K203" s="4" t="str">
        <f aca="false">Orders_Raw!H203</f>
        <v>2026-02-15 10:54</v>
      </c>
      <c r="L203" s="4" t="str">
        <f aca="false">IF(COUNTIF(Orders_Raw!$A$5:$A$539,A203)&gt;1,"YES","No")</f>
        <v>No</v>
      </c>
      <c r="M203" s="4" t="str">
        <f aca="false">IF(COUNTIFS($B$5:$B$539,B203,$D$5:$D$539,D203,$F$5:$F$539,F203)&gt;1,"YES","No")</f>
        <v>No</v>
      </c>
      <c r="N203" s="4" t="str">
        <f aca="false">IFERROR(INDEX(Customer_Master!$B$5:$B$64,MATCH(B203,Customer_Master!$A$5:$A$64,0)),"UNMATCHED")</f>
        <v>Esther Umeh</v>
      </c>
      <c r="O203" s="4" t="str">
        <f aca="false">IFERROR(INDEX(Customer_Master!$C$5:$C$64,MATCH(B203,Customer_Master!$A$5:$A$64,0)),"UNMATCHED")</f>
        <v>Champions</v>
      </c>
      <c r="P203" s="4" t="str">
        <f aca="false">IFERROR(INDEX(Customer_Master!$D$5:$D$64,MATCH(B203,Customer_Master!$A$5:$A$64,0)),"UNMATCHED")</f>
        <v>Ibadan</v>
      </c>
      <c r="Q203" s="4" t="str">
        <f aca="false">IF(N203="UNMATCHED","Unmatched","Matched")</f>
        <v>Matched</v>
      </c>
      <c r="R203" s="4" t="str">
        <f aca="false">IF(OR(E203="No",G203="No",I203="No",L203="YES",Q203="Unmatched"),"NEEDS REVIEW","OK")</f>
        <v>OK</v>
      </c>
    </row>
    <row r="204" customFormat="false" ht="15" hidden="false" customHeight="false" outlineLevel="0" collapsed="false">
      <c r="A204" s="4" t="str">
        <f aca="false">Orders_Raw!A204</f>
        <v>ORD00149</v>
      </c>
      <c r="B204" s="4" t="str">
        <f aca="false">TRIM(UPPER(Orders_Raw!B204))</f>
        <v>CUST0037</v>
      </c>
      <c r="C204" s="4" t="str">
        <f aca="false">PROPER(TRIM(Orders_Raw!C204))</f>
        <v>Blessing Obi</v>
      </c>
      <c r="D204" s="6" t="n">
        <f aca="false">IFERROR(DATEVALUE(Orders_Raw!D204),"")</f>
        <v>46117</v>
      </c>
      <c r="E204" s="4" t="str">
        <f aca="false">IF(D204="","No","Yes")</f>
        <v>Yes</v>
      </c>
      <c r="F204" s="4" t="n">
        <f aca="false">IFERROR(VALUE(SUBSTITUTE(SUBSTITUTE(SUBSTITUTE(Orders_Raw!G204,"$",""),"NGN",""),",","")),"")</f>
        <v>1689.41</v>
      </c>
      <c r="G204" s="4" t="str">
        <f aca="false">IF(F204="","No","Yes")</f>
        <v>Yes</v>
      </c>
      <c r="H204" s="4" t="str">
        <f aca="false">Orders_Raw!F204</f>
        <v>3</v>
      </c>
      <c r="I204" s="4" t="str">
        <f aca="false">IF(H204="","No",IF(H204&lt;=0,"No","Yes"))</f>
        <v>Yes</v>
      </c>
      <c r="J204" s="4" t="str">
        <f aca="false">Orders_Raw!E204</f>
        <v>Laptop</v>
      </c>
      <c r="K204" s="4" t="str">
        <f aca="false">Orders_Raw!H204</f>
        <v>2026-04-05 17:30</v>
      </c>
      <c r="L204" s="4" t="str">
        <f aca="false">IF(COUNTIF(Orders_Raw!$A$5:$A$539,A204)&gt;1,"YES","No")</f>
        <v>No</v>
      </c>
      <c r="M204" s="4" t="str">
        <f aca="false">IF(COUNTIFS($B$5:$B$539,B204,$D$5:$D$539,D204,$F$5:$F$539,F204)&gt;1,"YES","No")</f>
        <v>No</v>
      </c>
      <c r="N204" s="4" t="str">
        <f aca="false">IFERROR(INDEX(Customer_Master!$B$5:$B$64,MATCH(B204,Customer_Master!$A$5:$A$64,0)),"UNMATCHED")</f>
        <v>Blessing Obi</v>
      </c>
      <c r="O204" s="4" t="str">
        <f aca="false">IFERROR(INDEX(Customer_Master!$C$5:$C$64,MATCH(B204,Customer_Master!$A$5:$A$64,0)),"UNMATCHED")</f>
        <v>Lost / Low-Value</v>
      </c>
      <c r="P204" s="4" t="str">
        <f aca="false">IFERROR(INDEX(Customer_Master!$D$5:$D$64,MATCH(B204,Customer_Master!$A$5:$A$64,0)),"UNMATCHED")</f>
        <v>Lagos</v>
      </c>
      <c r="Q204" s="4" t="str">
        <f aca="false">IF(N204="UNMATCHED","Unmatched","Matched")</f>
        <v>Matched</v>
      </c>
      <c r="R204" s="4" t="str">
        <f aca="false">IF(OR(E204="No",G204="No",I204="No",L204="YES",Q204="Unmatched"),"NEEDS REVIEW","OK")</f>
        <v>OK</v>
      </c>
    </row>
    <row r="205" customFormat="false" ht="15" hidden="false" customHeight="false" outlineLevel="0" collapsed="false">
      <c r="A205" s="4" t="str">
        <f aca="false">Orders_Raw!A205</f>
        <v>ORD00106</v>
      </c>
      <c r="B205" s="4" t="str">
        <f aca="false">TRIM(UPPER(Orders_Raw!B205))</f>
        <v>CUST0042</v>
      </c>
      <c r="C205" s="4" t="str">
        <f aca="false">PROPER(TRIM(Orders_Raw!C205))</f>
        <v>Bisi Chukwu</v>
      </c>
      <c r="D205" s="6" t="n">
        <f aca="false">IFERROR(DATEVALUE(Orders_Raw!D205),"")</f>
        <v>46029</v>
      </c>
      <c r="E205" s="4" t="str">
        <f aca="false">IF(D205="","No","Yes")</f>
        <v>Yes</v>
      </c>
      <c r="F205" s="4" t="n">
        <f aca="false">IFERROR(VALUE(SUBSTITUTE(SUBSTITUTE(SUBSTITUTE(Orders_Raw!G205,"$",""),"NGN",""),",","")),"")</f>
        <v>2477.6</v>
      </c>
      <c r="G205" s="4" t="str">
        <f aca="false">IF(F205="","No","Yes")</f>
        <v>Yes</v>
      </c>
      <c r="H205" s="4" t="str">
        <f aca="false">Orders_Raw!F205</f>
        <v>3</v>
      </c>
      <c r="I205" s="4" t="str">
        <f aca="false">IF(H205="","No",IF(H205&lt;=0,"No","Yes"))</f>
        <v>Yes</v>
      </c>
      <c r="J205" s="4" t="str">
        <f aca="false">Orders_Raw!E205</f>
        <v>Mouse</v>
      </c>
      <c r="K205" s="4" t="str">
        <f aca="false">Orders_Raw!H205</f>
        <v>2026-07-01 14:26</v>
      </c>
      <c r="L205" s="4" t="str">
        <f aca="false">IF(COUNTIF(Orders_Raw!$A$5:$A$539,A205)&gt;1,"YES","No")</f>
        <v>No</v>
      </c>
      <c r="M205" s="4" t="str">
        <f aca="false">IF(COUNTIFS($B$5:$B$539,B205,$D$5:$D$539,D205,$F$5:$F$539,F205)&gt;1,"YES","No")</f>
        <v>No</v>
      </c>
      <c r="N205" s="4" t="str">
        <f aca="false">IFERROR(INDEX(Customer_Master!$B$5:$B$64,MATCH(B205,Customer_Master!$A$5:$A$64,0)),"UNMATCHED")</f>
        <v>Bisi Chukwu</v>
      </c>
      <c r="O205" s="4" t="str">
        <f aca="false">IFERROR(INDEX(Customer_Master!$C$5:$C$64,MATCH(B205,Customer_Master!$A$5:$A$64,0)),"UNMATCHED")</f>
        <v>At Risk</v>
      </c>
      <c r="P205" s="4" t="str">
        <f aca="false">IFERROR(INDEX(Customer_Master!$D$5:$D$64,MATCH(B205,Customer_Master!$A$5:$A$64,0)),"UNMATCHED")</f>
        <v>Kano</v>
      </c>
      <c r="Q205" s="4" t="str">
        <f aca="false">IF(N205="UNMATCHED","Unmatched","Matched")</f>
        <v>Matched</v>
      </c>
      <c r="R205" s="4" t="str">
        <f aca="false">IF(OR(E205="No",G205="No",I205="No",L205="YES",Q205="Unmatched"),"NEEDS REVIEW","OK")</f>
        <v>OK</v>
      </c>
    </row>
    <row r="206" customFormat="false" ht="15" hidden="false" customHeight="false" outlineLevel="0" collapsed="false">
      <c r="A206" s="4" t="str">
        <f aca="false">Orders_Raw!A206</f>
        <v>ORD00086</v>
      </c>
      <c r="B206" s="4" t="str">
        <f aca="false">TRIM(UPPER(Orders_Raw!B206))</f>
        <v>CUST0032</v>
      </c>
      <c r="C206" s="4" t="str">
        <f aca="false">PROPER(TRIM(Orders_Raw!C206))</f>
        <v>Ola Obi</v>
      </c>
      <c r="D206" s="6" t="str">
        <f aca="false">IFERROR(DATEVALUE(Orders_Raw!D206),"")</f>
        <v/>
      </c>
      <c r="E206" s="4" t="str">
        <f aca="false">IF(D206="","No","Yes")</f>
        <v>No</v>
      </c>
      <c r="F206" s="4" t="n">
        <f aca="false">IFERROR(VALUE(SUBSTITUTE(SUBSTITUTE(SUBSTITUTE(Orders_Raw!G206,"$",""),"NGN",""),",","")),"")</f>
        <v>815.45</v>
      </c>
      <c r="G206" s="4" t="str">
        <f aca="false">IF(F206="","No","Yes")</f>
        <v>Yes</v>
      </c>
      <c r="H206" s="4" t="str">
        <f aca="false">Orders_Raw!F206</f>
        <v>1</v>
      </c>
      <c r="I206" s="4" t="str">
        <f aca="false">IF(H206="","No",IF(H206&lt;=0,"No","Yes"))</f>
        <v>Yes</v>
      </c>
      <c r="J206" s="4" t="str">
        <f aca="false">Orders_Raw!E206</f>
        <v>Speaker</v>
      </c>
      <c r="K206" s="4" t="str">
        <f aca="false">Orders_Raw!H206</f>
        <v>2026-01-19 16:45</v>
      </c>
      <c r="L206" s="4" t="str">
        <f aca="false">IF(COUNTIF(Orders_Raw!$A$5:$A$539,A206)&gt;1,"YES","No")</f>
        <v>No</v>
      </c>
      <c r="M206" s="4" t="str">
        <f aca="false">IF(COUNTIFS($B$5:$B$539,B206,$D$5:$D$539,D206,$F$5:$F$539,F206)&gt;1,"YES","No")</f>
        <v>No</v>
      </c>
      <c r="N206" s="4" t="str">
        <f aca="false">IFERROR(INDEX(Customer_Master!$B$5:$B$64,MATCH(B206,Customer_Master!$A$5:$A$64,0)),"UNMATCHED")</f>
        <v>Ola Obi</v>
      </c>
      <c r="O206" s="4" t="str">
        <f aca="false">IFERROR(INDEX(Customer_Master!$C$5:$C$64,MATCH(B206,Customer_Master!$A$5:$A$64,0)),"UNMATCHED")</f>
        <v>Lost / Low-Value</v>
      </c>
      <c r="P206" s="4" t="str">
        <f aca="false">IFERROR(INDEX(Customer_Master!$D$5:$D$64,MATCH(B206,Customer_Master!$A$5:$A$64,0)),"UNMATCHED")</f>
        <v>Abuja</v>
      </c>
      <c r="Q206" s="4" t="str">
        <f aca="false">IF(N206="UNMATCHED","Unmatched","Matched")</f>
        <v>Matched</v>
      </c>
      <c r="R206" s="4" t="str">
        <f aca="false">IF(OR(E206="No",G206="No",I206="No",L206="YES",Q206="Unmatched"),"NEEDS REVIEW","OK")</f>
        <v>NEEDS REVIEW</v>
      </c>
    </row>
    <row r="207" customFormat="false" ht="15" hidden="false" customHeight="false" outlineLevel="0" collapsed="false">
      <c r="A207" s="4" t="str">
        <f aca="false">Orders_Raw!A207</f>
        <v>ORD00367</v>
      </c>
      <c r="B207" s="4" t="str">
        <f aca="false">TRIM(UPPER(Orders_Raw!B207))</f>
        <v>CUST0012</v>
      </c>
      <c r="C207" s="4" t="str">
        <f aca="false">PROPER(TRIM(Orders_Raw!C207))</f>
        <v>Kemi Sani</v>
      </c>
      <c r="D207" s="6" t="n">
        <f aca="false">IFERROR(DATEVALUE(Orders_Raw!D207),"")</f>
        <v>46087</v>
      </c>
      <c r="E207" s="4" t="str">
        <f aca="false">IF(D207="","No","Yes")</f>
        <v>Yes</v>
      </c>
      <c r="F207" s="4" t="n">
        <f aca="false">IFERROR(VALUE(SUBSTITUTE(SUBSTITUTE(SUBSTITUTE(Orders_Raw!G207,"$",""),"NGN",""),",","")),"")</f>
        <v>2196.22</v>
      </c>
      <c r="G207" s="4" t="str">
        <f aca="false">IF(F207="","No","Yes")</f>
        <v>Yes</v>
      </c>
      <c r="H207" s="4" t="str">
        <f aca="false">Orders_Raw!F207</f>
        <v>3</v>
      </c>
      <c r="I207" s="4" t="str">
        <f aca="false">IF(H207="","No",IF(H207&lt;=0,"No","Yes"))</f>
        <v>Yes</v>
      </c>
      <c r="J207" s="4" t="str">
        <f aca="false">Orders_Raw!E207</f>
        <v>Headphones</v>
      </c>
      <c r="K207" s="4" t="str">
        <f aca="false">Orders_Raw!H207</f>
        <v>2026-06-03 17:34</v>
      </c>
      <c r="L207" s="4" t="str">
        <f aca="false">IF(COUNTIF(Orders_Raw!$A$5:$A$539,A207)&gt;1,"YES","No")</f>
        <v>No</v>
      </c>
      <c r="M207" s="4" t="str">
        <f aca="false">IF(COUNTIFS($B$5:$B$539,B207,$D$5:$D$539,D207,$F$5:$F$539,F207)&gt;1,"YES","No")</f>
        <v>No</v>
      </c>
      <c r="N207" s="4" t="str">
        <f aca="false">IFERROR(INDEX(Customer_Master!$B$5:$B$64,MATCH(B207,Customer_Master!$A$5:$A$64,0)),"UNMATCHED")</f>
        <v>Kemi Sani</v>
      </c>
      <c r="O207" s="4" t="str">
        <f aca="false">IFERROR(INDEX(Customer_Master!$C$5:$C$64,MATCH(B207,Customer_Master!$A$5:$A$64,0)),"UNMATCHED")</f>
        <v>Champions</v>
      </c>
      <c r="P207" s="4" t="str">
        <f aca="false">IFERROR(INDEX(Customer_Master!$D$5:$D$64,MATCH(B207,Customer_Master!$A$5:$A$64,0)),"UNMATCHED")</f>
        <v>Kaduna</v>
      </c>
      <c r="Q207" s="4" t="str">
        <f aca="false">IF(N207="UNMATCHED","Unmatched","Matched")</f>
        <v>Matched</v>
      </c>
      <c r="R207" s="4" t="str">
        <f aca="false">IF(OR(E207="No",G207="No",I207="No",L207="YES",Q207="Unmatched"),"NEEDS REVIEW","OK")</f>
        <v>OK</v>
      </c>
    </row>
    <row r="208" customFormat="false" ht="15" hidden="false" customHeight="false" outlineLevel="0" collapsed="false">
      <c r="A208" s="4" t="str">
        <f aca="false">Orders_Raw!A208</f>
        <v>ORD00226</v>
      </c>
      <c r="B208" s="4" t="str">
        <f aca="false">TRIM(UPPER(Orders_Raw!B208))</f>
        <v>CUST0018</v>
      </c>
      <c r="C208" s="4" t="str">
        <f aca="false">PROPER(TRIM(Orders_Raw!C208))</f>
        <v>Fatima Okonkwo</v>
      </c>
      <c r="D208" s="6" t="str">
        <f aca="false">IFERROR(DATEVALUE(Orders_Raw!D208),"")</f>
        <v/>
      </c>
      <c r="E208" s="4" t="str">
        <f aca="false">IF(D208="","No","Yes")</f>
        <v>No</v>
      </c>
      <c r="F208" s="4" t="n">
        <f aca="false">IFERROR(VALUE(SUBSTITUTE(SUBSTITUTE(SUBSTITUTE(Orders_Raw!G208,"$",""),"NGN",""),",","")),"")</f>
        <v>828.31</v>
      </c>
      <c r="G208" s="4" t="str">
        <f aca="false">IF(F208="","No","Yes")</f>
        <v>Yes</v>
      </c>
      <c r="H208" s="4" t="str">
        <f aca="false">Orders_Raw!F208</f>
        <v>5</v>
      </c>
      <c r="I208" s="4" t="str">
        <f aca="false">IF(H208="","No",IF(H208&lt;=0,"No","Yes"))</f>
        <v>Yes</v>
      </c>
      <c r="J208" s="4" t="str">
        <f aca="false">Orders_Raw!E208</f>
        <v>Printer</v>
      </c>
      <c r="K208" s="4" t="str">
        <f aca="false">Orders_Raw!H208</f>
        <v>2026-04-27 18:42</v>
      </c>
      <c r="L208" s="4" t="str">
        <f aca="false">IF(COUNTIF(Orders_Raw!$A$5:$A$539,A208)&gt;1,"YES","No")</f>
        <v>No</v>
      </c>
      <c r="M208" s="4" t="str">
        <f aca="false">IF(COUNTIFS($B$5:$B$539,B208,$D$5:$D$539,D208,$F$5:$F$539,F208)&gt;1,"YES","No")</f>
        <v>No</v>
      </c>
      <c r="N208" s="4" t="str">
        <f aca="false">IFERROR(INDEX(Customer_Master!$B$5:$B$64,MATCH(B208,Customer_Master!$A$5:$A$64,0)),"UNMATCHED")</f>
        <v>Fatima Okonkwo</v>
      </c>
      <c r="O208" s="4" t="str">
        <f aca="false">IFERROR(INDEX(Customer_Master!$C$5:$C$64,MATCH(B208,Customer_Master!$A$5:$A$64,0)),"UNMATCHED")</f>
        <v>At Risk</v>
      </c>
      <c r="P208" s="4" t="str">
        <f aca="false">IFERROR(INDEX(Customer_Master!$D$5:$D$64,MATCH(B208,Customer_Master!$A$5:$A$64,0)),"UNMATCHED")</f>
        <v>Port Harcourt</v>
      </c>
      <c r="Q208" s="4" t="str">
        <f aca="false">IF(N208="UNMATCHED","Unmatched","Matched")</f>
        <v>Matched</v>
      </c>
      <c r="R208" s="4" t="str">
        <f aca="false">IF(OR(E208="No",G208="No",I208="No",L208="YES",Q208="Unmatched"),"NEEDS REVIEW","OK")</f>
        <v>NEEDS REVIEW</v>
      </c>
    </row>
    <row r="209" customFormat="false" ht="15" hidden="false" customHeight="false" outlineLevel="0" collapsed="false">
      <c r="A209" s="4" t="str">
        <f aca="false">Orders_Raw!A209</f>
        <v>ORD00438</v>
      </c>
      <c r="B209" s="4" t="str">
        <f aca="false">TRIM(UPPER(Orders_Raw!B209))</f>
        <v>CUST0014</v>
      </c>
      <c r="C209" s="4" t="str">
        <f aca="false">PROPER(TRIM(Orders_Raw!C209))</f>
        <v>Joy Eze</v>
      </c>
      <c r="D209" s="6" t="str">
        <f aca="false">IFERROR(DATEVALUE(Orders_Raw!D209),"")</f>
        <v/>
      </c>
      <c r="E209" s="4" t="str">
        <f aca="false">IF(D209="","No","Yes")</f>
        <v>No</v>
      </c>
      <c r="F209" s="4" t="n">
        <f aca="false">IFERROR(VALUE(SUBSTITUTE(SUBSTITUTE(SUBSTITUTE(Orders_Raw!G209,"$",""),"NGN",""),",","")),"")</f>
        <v>1563.26</v>
      </c>
      <c r="G209" s="4" t="str">
        <f aca="false">IF(F209="","No","Yes")</f>
        <v>Yes</v>
      </c>
      <c r="H209" s="4" t="str">
        <f aca="false">Orders_Raw!F209</f>
        <v>-4</v>
      </c>
      <c r="I209" s="4" t="str">
        <f aca="false">IF(H209="","No",IF(H209&lt;=0,"No","Yes"))</f>
        <v>Yes</v>
      </c>
      <c r="J209" s="4" t="str">
        <f aca="false">Orders_Raw!E209</f>
        <v>Speaker</v>
      </c>
      <c r="K209" s="4" t="str">
        <f aca="false">Orders_Raw!H209</f>
        <v>2026-05-21 18:33</v>
      </c>
      <c r="L209" s="4" t="str">
        <f aca="false">IF(COUNTIF(Orders_Raw!$A$5:$A$539,A209)&gt;1,"YES","No")</f>
        <v>No</v>
      </c>
      <c r="M209" s="4" t="str">
        <f aca="false">IF(COUNTIFS($B$5:$B$539,B209,$D$5:$D$539,D209,$F$5:$F$539,F209)&gt;1,"YES","No")</f>
        <v>No</v>
      </c>
      <c r="N209" s="4" t="str">
        <f aca="false">IFERROR(INDEX(Customer_Master!$B$5:$B$64,MATCH(B209,Customer_Master!$A$5:$A$64,0)),"UNMATCHED")</f>
        <v>Joy Eze</v>
      </c>
      <c r="O209" s="4" t="str">
        <f aca="false">IFERROR(INDEX(Customer_Master!$C$5:$C$64,MATCH(B209,Customer_Master!$A$5:$A$64,0)),"UNMATCHED")</f>
        <v>New</v>
      </c>
      <c r="P209" s="4" t="str">
        <f aca="false">IFERROR(INDEX(Customer_Master!$D$5:$D$64,MATCH(B209,Customer_Master!$A$5:$A$64,0)),"UNMATCHED")</f>
        <v>Jos</v>
      </c>
      <c r="Q209" s="4" t="str">
        <f aca="false">IF(N209="UNMATCHED","Unmatched","Matched")</f>
        <v>Matched</v>
      </c>
      <c r="R209" s="4" t="str">
        <f aca="false">IF(OR(E209="No",G209="No",I209="No",L209="YES",Q209="Unmatched"),"NEEDS REVIEW","OK")</f>
        <v>NEEDS REVIEW</v>
      </c>
    </row>
    <row r="210" customFormat="false" ht="15" hidden="false" customHeight="false" outlineLevel="0" collapsed="false">
      <c r="A210" s="4" t="str">
        <f aca="false">Orders_Raw!A210</f>
        <v>ORD00210</v>
      </c>
      <c r="B210" s="4" t="str">
        <f aca="false">TRIM(UPPER(Orders_Raw!B210))</f>
        <v>CUST0030</v>
      </c>
      <c r="C210" s="4" t="str">
        <f aca="false">PROPER(TRIM(Orders_Raw!C210))</f>
        <v>Ifeoma Ajayi</v>
      </c>
      <c r="D210" s="6" t="n">
        <f aca="false">IFERROR(DATEVALUE(Orders_Raw!D210),"")</f>
        <v>46146</v>
      </c>
      <c r="E210" s="4" t="str">
        <f aca="false">IF(D210="","No","Yes")</f>
        <v>Yes</v>
      </c>
      <c r="F210" s="4" t="n">
        <f aca="false">IFERROR(VALUE(SUBSTITUTE(SUBSTITUTE(SUBSTITUTE(Orders_Raw!G210,"$",""),"NGN",""),",","")),"")</f>
        <v>1198.26</v>
      </c>
      <c r="G210" s="4" t="str">
        <f aca="false">IF(F210="","No","Yes")</f>
        <v>Yes</v>
      </c>
      <c r="H210" s="4" t="str">
        <f aca="false">Orders_Raw!F210</f>
        <v>4</v>
      </c>
      <c r="I210" s="4" t="str">
        <f aca="false">IF(H210="","No",IF(H210&lt;=0,"No","Yes"))</f>
        <v>Yes</v>
      </c>
      <c r="J210" s="4" t="str">
        <f aca="false">Orders_Raw!E210</f>
        <v>Mouse</v>
      </c>
      <c r="K210" s="4" t="str">
        <f aca="false">Orders_Raw!H210</f>
        <v>2026-05-04 08:51</v>
      </c>
      <c r="L210" s="4" t="str">
        <f aca="false">IF(COUNTIF(Orders_Raw!$A$5:$A$539,A210)&gt;1,"YES","No")</f>
        <v>No</v>
      </c>
      <c r="M210" s="4" t="str">
        <f aca="false">IF(COUNTIFS($B$5:$B$539,B210,$D$5:$D$539,D210,$F$5:$F$539,F210)&gt;1,"YES","No")</f>
        <v>No</v>
      </c>
      <c r="N210" s="4" t="str">
        <f aca="false">IFERROR(INDEX(Customer_Master!$B$5:$B$64,MATCH(B210,Customer_Master!$A$5:$A$64,0)),"UNMATCHED")</f>
        <v>Ifeoma Ajayi</v>
      </c>
      <c r="O210" s="4" t="str">
        <f aca="false">IFERROR(INDEX(Customer_Master!$C$5:$C$64,MATCH(B210,Customer_Master!$A$5:$A$64,0)),"UNMATCHED")</f>
        <v>Loyal</v>
      </c>
      <c r="P210" s="4" t="str">
        <f aca="false">IFERROR(INDEX(Customer_Master!$D$5:$D$64,MATCH(B210,Customer_Master!$A$5:$A$64,0)),"UNMATCHED")</f>
        <v>Kaduna</v>
      </c>
      <c r="Q210" s="4" t="str">
        <f aca="false">IF(N210="UNMATCHED","Unmatched","Matched")</f>
        <v>Matched</v>
      </c>
      <c r="R210" s="4" t="str">
        <f aca="false">IF(OR(E210="No",G210="No",I210="No",L210="YES",Q210="Unmatched"),"NEEDS REVIEW","OK")</f>
        <v>OK</v>
      </c>
    </row>
    <row r="211" customFormat="false" ht="15" hidden="false" customHeight="false" outlineLevel="0" collapsed="false">
      <c r="A211" s="4" t="str">
        <f aca="false">Orders_Raw!A211</f>
        <v>ORD00501</v>
      </c>
      <c r="B211" s="4" t="str">
        <f aca="false">TRIM(UPPER(Orders_Raw!B211))</f>
        <v>CUST0010</v>
      </c>
      <c r="C211" s="4" t="str">
        <f aca="false">PROPER(TRIM(Orders_Raw!C211))</f>
        <v>Esther Umeh</v>
      </c>
      <c r="D211" s="6" t="n">
        <f aca="false">IFERROR(DATEVALUE(Orders_Raw!D211),"")</f>
        <v>46208</v>
      </c>
      <c r="E211" s="4" t="str">
        <f aca="false">IF(D211="","No","Yes")</f>
        <v>Yes</v>
      </c>
      <c r="F211" s="4" t="n">
        <f aca="false">IFERROR(VALUE(SUBSTITUTE(SUBSTITUTE(SUBSTITUTE(Orders_Raw!G211,"$",""),"NGN",""),",","")),"")</f>
        <v>1929.36</v>
      </c>
      <c r="G211" s="4" t="str">
        <f aca="false">IF(F211="","No","Yes")</f>
        <v>Yes</v>
      </c>
      <c r="H211" s="4" t="str">
        <f aca="false">Orders_Raw!F211</f>
        <v>4</v>
      </c>
      <c r="I211" s="4" t="str">
        <f aca="false">IF(H211="","No",IF(H211&lt;=0,"No","Yes"))</f>
        <v>Yes</v>
      </c>
      <c r="J211" s="4" t="str">
        <f aca="false">Orders_Raw!E211</f>
        <v>Charger</v>
      </c>
      <c r="K211" s="4" t="str">
        <f aca="false">Orders_Raw!H211</f>
        <v>2026-05-07 17:46</v>
      </c>
      <c r="L211" s="4" t="str">
        <f aca="false">IF(COUNTIF(Orders_Raw!$A$5:$A$539,A211)&gt;1,"YES","No")</f>
        <v>No</v>
      </c>
      <c r="M211" s="4" t="str">
        <f aca="false">IF(COUNTIFS($B$5:$B$539,B211,$D$5:$D$539,D211,$F$5:$F$539,F211)&gt;1,"YES","No")</f>
        <v>No</v>
      </c>
      <c r="N211" s="4" t="str">
        <f aca="false">IFERROR(INDEX(Customer_Master!$B$5:$B$64,MATCH(B211,Customer_Master!$A$5:$A$64,0)),"UNMATCHED")</f>
        <v>Esther Umeh</v>
      </c>
      <c r="O211" s="4" t="str">
        <f aca="false">IFERROR(INDEX(Customer_Master!$C$5:$C$64,MATCH(B211,Customer_Master!$A$5:$A$64,0)),"UNMATCHED")</f>
        <v>Champions</v>
      </c>
      <c r="P211" s="4" t="str">
        <f aca="false">IFERROR(INDEX(Customer_Master!$D$5:$D$64,MATCH(B211,Customer_Master!$A$5:$A$64,0)),"UNMATCHED")</f>
        <v>Abuja</v>
      </c>
      <c r="Q211" s="4" t="str">
        <f aca="false">IF(N211="UNMATCHED","Unmatched","Matched")</f>
        <v>Matched</v>
      </c>
      <c r="R211" s="4" t="str">
        <f aca="false">IF(OR(E211="No",G211="No",I211="No",L211="YES",Q211="Unmatched"),"NEEDS REVIEW","OK")</f>
        <v>OK</v>
      </c>
    </row>
    <row r="212" customFormat="false" ht="15" hidden="false" customHeight="false" outlineLevel="0" collapsed="false">
      <c r="A212" s="4" t="str">
        <f aca="false">Orders_Raw!A212</f>
        <v>ORD00275</v>
      </c>
      <c r="B212" s="4" t="str">
        <f aca="false">TRIM(UPPER(Orders_Raw!B212))</f>
        <v>CUSTO024</v>
      </c>
      <c r="C212" s="4" t="str">
        <f aca="false">PROPER(TRIM(Orders_Raw!C212))</f>
        <v>Aisha Adeyemi</v>
      </c>
      <c r="D212" s="6" t="n">
        <f aca="false">IFERROR(DATEVALUE(Orders_Raw!D212),"")</f>
        <v>46192</v>
      </c>
      <c r="E212" s="4" t="str">
        <f aca="false">IF(D212="","No","Yes")</f>
        <v>Yes</v>
      </c>
      <c r="F212" s="4" t="n">
        <f aca="false">IFERROR(VALUE(SUBSTITUTE(SUBSTITUTE(SUBSTITUTE(Orders_Raw!G212,"$",""),"NGN",""),",","")),"")</f>
        <v>1208.62</v>
      </c>
      <c r="G212" s="4" t="str">
        <f aca="false">IF(F212="","No","Yes")</f>
        <v>Yes</v>
      </c>
      <c r="H212" s="4" t="str">
        <f aca="false">Orders_Raw!F212</f>
        <v>1</v>
      </c>
      <c r="I212" s="4" t="str">
        <f aca="false">IF(H212="","No",IF(H212&lt;=0,"No","Yes"))</f>
        <v>Yes</v>
      </c>
      <c r="J212" s="4" t="str">
        <f aca="false">Orders_Raw!E212</f>
        <v>Phone</v>
      </c>
      <c r="K212" s="4" t="str">
        <f aca="false">Orders_Raw!H212</f>
        <v>2026-06-19 15:54</v>
      </c>
      <c r="L212" s="4" t="str">
        <f aca="false">IF(COUNTIF(Orders_Raw!$A$5:$A$539,A212)&gt;1,"YES","No")</f>
        <v>No</v>
      </c>
      <c r="M212" s="4" t="str">
        <f aca="false">IF(COUNTIFS($B$5:$B$539,B212,$D$5:$D$539,D212,$F$5:$F$539,F212)&gt;1,"YES","No")</f>
        <v>No</v>
      </c>
      <c r="N212" s="4" t="str">
        <f aca="false">IFERROR(INDEX(Customer_Master!$B$5:$B$64,MATCH(B212,Customer_Master!$A$5:$A$64,0)),"UNMATCHED")</f>
        <v>UNMATCHED</v>
      </c>
      <c r="O212" s="4" t="str">
        <f aca="false">IFERROR(INDEX(Customer_Master!$C$5:$C$64,MATCH(B212,Customer_Master!$A$5:$A$64,0)),"UNMATCHED")</f>
        <v>UNMATCHED</v>
      </c>
      <c r="P212" s="4" t="str">
        <f aca="false">IFERROR(INDEX(Customer_Master!$D$5:$D$64,MATCH(B212,Customer_Master!$A$5:$A$64,0)),"UNMATCHED")</f>
        <v>UNMATCHED</v>
      </c>
      <c r="Q212" s="4" t="str">
        <f aca="false">IF(N212="UNMATCHED","Unmatched","Matched")</f>
        <v>Unmatched</v>
      </c>
      <c r="R212" s="4" t="str">
        <f aca="false">IF(OR(E212="No",G212="No",I212="No",L212="YES",Q212="Unmatched"),"NEEDS REVIEW","OK")</f>
        <v>NEEDS REVIEW</v>
      </c>
    </row>
    <row r="213" customFormat="false" ht="15" hidden="false" customHeight="false" outlineLevel="0" collapsed="false">
      <c r="A213" s="4" t="str">
        <f aca="false">Orders_Raw!A213</f>
        <v>ORD00407</v>
      </c>
      <c r="B213" s="4" t="str">
        <f aca="false">TRIM(UPPER(Orders_Raw!B213))</f>
        <v>CUST0009</v>
      </c>
      <c r="C213" s="4" t="str">
        <f aca="false">PROPER(TRIM(Orders_Raw!C213))</f>
        <v>Ngozi Sani</v>
      </c>
      <c r="D213" s="6" t="n">
        <f aca="false">IFERROR(DATEVALUE(Orders_Raw!D213),"")</f>
        <v>46025</v>
      </c>
      <c r="E213" s="4" t="str">
        <f aca="false">IF(D213="","No","Yes")</f>
        <v>Yes</v>
      </c>
      <c r="F213" s="4" t="n">
        <f aca="false">IFERROR(VALUE(SUBSTITUTE(SUBSTITUTE(SUBSTITUTE(Orders_Raw!G213,"$",""),"NGN",""),",","")),"")</f>
        <v>389.45</v>
      </c>
      <c r="G213" s="4" t="str">
        <f aca="false">IF(F213="","No","Yes")</f>
        <v>Yes</v>
      </c>
      <c r="H213" s="4" t="str">
        <f aca="false">Orders_Raw!F213</f>
        <v>1</v>
      </c>
      <c r="I213" s="4" t="str">
        <f aca="false">IF(H213="","No",IF(H213&lt;=0,"No","Yes"))</f>
        <v>Yes</v>
      </c>
      <c r="J213" s="4" t="str">
        <f aca="false">Orders_Raw!E213</f>
        <v>Printer</v>
      </c>
      <c r="K213" s="4" t="str">
        <f aca="false">Orders_Raw!H213</f>
        <v>2026-03-01 13:29</v>
      </c>
      <c r="L213" s="4" t="str">
        <f aca="false">IF(COUNTIF(Orders_Raw!$A$5:$A$539,A213)&gt;1,"YES","No")</f>
        <v>No</v>
      </c>
      <c r="M213" s="4" t="str">
        <f aca="false">IF(COUNTIFS($B$5:$B$539,B213,$D$5:$D$539,D213,$F$5:$F$539,F213)&gt;1,"YES","No")</f>
        <v>No</v>
      </c>
      <c r="N213" s="4" t="str">
        <f aca="false">IFERROR(INDEX(Customer_Master!$B$5:$B$64,MATCH(B213,Customer_Master!$A$5:$A$64,0)),"UNMATCHED")</f>
        <v>Ngozi Sani</v>
      </c>
      <c r="O213" s="4" t="str">
        <f aca="false">IFERROR(INDEX(Customer_Master!$C$5:$C$64,MATCH(B213,Customer_Master!$A$5:$A$64,0)),"UNMATCHED")</f>
        <v>Loyal</v>
      </c>
      <c r="P213" s="4" t="str">
        <f aca="false">IFERROR(INDEX(Customer_Master!$D$5:$D$64,MATCH(B213,Customer_Master!$A$5:$A$64,0)),"UNMATCHED")</f>
        <v>Kano</v>
      </c>
      <c r="Q213" s="4" t="str">
        <f aca="false">IF(N213="UNMATCHED","Unmatched","Matched")</f>
        <v>Matched</v>
      </c>
      <c r="R213" s="4" t="str">
        <f aca="false">IF(OR(E213="No",G213="No",I213="No",L213="YES",Q213="Unmatched"),"NEEDS REVIEW","OK")</f>
        <v>OK</v>
      </c>
    </row>
    <row r="214" customFormat="false" ht="15" hidden="false" customHeight="false" outlineLevel="0" collapsed="false">
      <c r="A214" s="4" t="str">
        <f aca="false">Orders_Raw!A214</f>
        <v>ORD00222</v>
      </c>
      <c r="B214" s="4" t="str">
        <f aca="false">TRIM(UPPER(Orders_Raw!B214))</f>
        <v>CUST0046</v>
      </c>
      <c r="C214" s="4" t="str">
        <f aca="false">PROPER(TRIM(Orders_Raw!C214))</f>
        <v>Fatima Nnamdi</v>
      </c>
      <c r="D214" s="6" t="n">
        <f aca="false">IFERROR(DATEVALUE(Orders_Raw!D214),"")</f>
        <v>46065</v>
      </c>
      <c r="E214" s="4" t="str">
        <f aca="false">IF(D214="","No","Yes")</f>
        <v>Yes</v>
      </c>
      <c r="F214" s="4" t="n">
        <f aca="false">IFERROR(VALUE(SUBSTITUTE(SUBSTITUTE(SUBSTITUTE(Orders_Raw!G214,"$",""),"NGN",""),",","")),"")</f>
        <v>361</v>
      </c>
      <c r="G214" s="4" t="str">
        <f aca="false">IF(F214="","No","Yes")</f>
        <v>Yes</v>
      </c>
      <c r="H214" s="4" t="str">
        <f aca="false">Orders_Raw!F214</f>
        <v>5</v>
      </c>
      <c r="I214" s="4" t="str">
        <f aca="false">IF(H214="","No",IF(H214&lt;=0,"No","Yes"))</f>
        <v>Yes</v>
      </c>
      <c r="J214" s="4" t="str">
        <f aca="false">Orders_Raw!E214</f>
        <v>Keyboard</v>
      </c>
      <c r="K214" s="4" t="str">
        <f aca="false">Orders_Raw!H214</f>
        <v>2026-02-12 16:17</v>
      </c>
      <c r="L214" s="4" t="str">
        <f aca="false">IF(COUNTIF(Orders_Raw!$A$5:$A$539,A214)&gt;1,"YES","No")</f>
        <v>No</v>
      </c>
      <c r="M214" s="4" t="str">
        <f aca="false">IF(COUNTIFS($B$5:$B$539,B214,$D$5:$D$539,D214,$F$5:$F$539,F214)&gt;1,"YES","No")</f>
        <v>No</v>
      </c>
      <c r="N214" s="4" t="str">
        <f aca="false">IFERROR(INDEX(Customer_Master!$B$5:$B$64,MATCH(B214,Customer_Master!$A$5:$A$64,0)),"UNMATCHED")</f>
        <v>Fatima Nnamdi</v>
      </c>
      <c r="O214" s="4" t="str">
        <f aca="false">IFERROR(INDEX(Customer_Master!$C$5:$C$64,MATCH(B214,Customer_Master!$A$5:$A$64,0)),"UNMATCHED")</f>
        <v>New</v>
      </c>
      <c r="P214" s="4" t="str">
        <f aca="false">IFERROR(INDEX(Customer_Master!$D$5:$D$64,MATCH(B214,Customer_Master!$A$5:$A$64,0)),"UNMATCHED")</f>
        <v>Enugu</v>
      </c>
      <c r="Q214" s="4" t="str">
        <f aca="false">IF(N214="UNMATCHED","Unmatched","Matched")</f>
        <v>Matched</v>
      </c>
      <c r="R214" s="4" t="str">
        <f aca="false">IF(OR(E214="No",G214="No",I214="No",L214="YES",Q214="Unmatched"),"NEEDS REVIEW","OK")</f>
        <v>OK</v>
      </c>
    </row>
    <row r="215" customFormat="false" ht="15" hidden="false" customHeight="false" outlineLevel="0" collapsed="false">
      <c r="A215" s="4" t="str">
        <f aca="false">Orders_Raw!A215</f>
        <v>ORD00166</v>
      </c>
      <c r="B215" s="4" t="str">
        <f aca="false">TRIM(UPPER(Orders_Raw!B215))</f>
        <v>CUST0030</v>
      </c>
      <c r="C215" s="4" t="str">
        <f aca="false">PROPER(TRIM(Orders_Raw!C215))</f>
        <v>Ifeoma Ajayi</v>
      </c>
      <c r="D215" s="6" t="n">
        <f aca="false">IFERROR(DATEVALUE(Orders_Raw!D215),"")</f>
        <v>46177</v>
      </c>
      <c r="E215" s="4" t="str">
        <f aca="false">IF(D215="","No","Yes")</f>
        <v>Yes</v>
      </c>
      <c r="F215" s="4" t="n">
        <f aca="false">IFERROR(VALUE(SUBSTITUTE(SUBSTITUTE(SUBSTITUTE(Orders_Raw!G215,"$",""),"NGN",""),",","")),"")</f>
        <v>1759.32</v>
      </c>
      <c r="G215" s="4" t="str">
        <f aca="false">IF(F215="","No","Yes")</f>
        <v>Yes</v>
      </c>
      <c r="H215" s="4" t="str">
        <f aca="false">Orders_Raw!F215</f>
        <v>5</v>
      </c>
      <c r="I215" s="4" t="str">
        <f aca="false">IF(H215="","No",IF(H215&lt;=0,"No","Yes"))</f>
        <v>Yes</v>
      </c>
      <c r="J215" s="4" t="str">
        <f aca="false">Orders_Raw!E215</f>
        <v>Charger</v>
      </c>
      <c r="K215" s="4" t="str">
        <f aca="false">Orders_Raw!H215</f>
        <v>2026-04-06 11:43</v>
      </c>
      <c r="L215" s="4" t="str">
        <f aca="false">IF(COUNTIF(Orders_Raw!$A$5:$A$539,A215)&gt;1,"YES","No")</f>
        <v>No</v>
      </c>
      <c r="M215" s="4" t="str">
        <f aca="false">IF(COUNTIFS($B$5:$B$539,B215,$D$5:$D$539,D215,$F$5:$F$539,F215)&gt;1,"YES","No")</f>
        <v>No</v>
      </c>
      <c r="N215" s="4" t="str">
        <f aca="false">IFERROR(INDEX(Customer_Master!$B$5:$B$64,MATCH(B215,Customer_Master!$A$5:$A$64,0)),"UNMATCHED")</f>
        <v>Ifeoma Ajayi</v>
      </c>
      <c r="O215" s="4" t="str">
        <f aca="false">IFERROR(INDEX(Customer_Master!$C$5:$C$64,MATCH(B215,Customer_Master!$A$5:$A$64,0)),"UNMATCHED")</f>
        <v>Loyal</v>
      </c>
      <c r="P215" s="4" t="str">
        <f aca="false">IFERROR(INDEX(Customer_Master!$D$5:$D$64,MATCH(B215,Customer_Master!$A$5:$A$64,0)),"UNMATCHED")</f>
        <v>Kaduna</v>
      </c>
      <c r="Q215" s="4" t="str">
        <f aca="false">IF(N215="UNMATCHED","Unmatched","Matched")</f>
        <v>Matched</v>
      </c>
      <c r="R215" s="4" t="str">
        <f aca="false">IF(OR(E215="No",G215="No",I215="No",L215="YES",Q215="Unmatched"),"NEEDS REVIEW","OK")</f>
        <v>OK</v>
      </c>
    </row>
    <row r="216" customFormat="false" ht="15" hidden="false" customHeight="false" outlineLevel="0" collapsed="false">
      <c r="A216" s="4" t="str">
        <f aca="false">Orders_Raw!A216</f>
        <v>ORD00189</v>
      </c>
      <c r="B216" s="4" t="str">
        <f aca="false">TRIM(UPPER(Orders_Raw!B216))</f>
        <v>CUST0016</v>
      </c>
      <c r="C216" s="4" t="str">
        <f aca="false">PROPER(TRIM(Orders_Raw!C216))</f>
        <v>Chidi Ajayi</v>
      </c>
      <c r="D216" s="6" t="n">
        <f aca="false">IFERROR(DATEVALUE(Orders_Raw!D216),"")</f>
        <v>46087</v>
      </c>
      <c r="E216" s="4" t="str">
        <f aca="false">IF(D216="","No","Yes")</f>
        <v>Yes</v>
      </c>
      <c r="F216" s="4" t="n">
        <f aca="false">IFERROR(VALUE(SUBSTITUTE(SUBSTITUTE(SUBSTITUTE(Orders_Raw!G216,"$",""),"NGN",""),",","")),"")</f>
        <v>679.3</v>
      </c>
      <c r="G216" s="4" t="str">
        <f aca="false">IF(F216="","No","Yes")</f>
        <v>Yes</v>
      </c>
      <c r="H216" s="4" t="str">
        <f aca="false">Orders_Raw!F216</f>
        <v>1</v>
      </c>
      <c r="I216" s="4" t="str">
        <f aca="false">IF(H216="","No",IF(H216&lt;=0,"No","Yes"))</f>
        <v>Yes</v>
      </c>
      <c r="J216" s="4" t="str">
        <f aca="false">Orders_Raw!E216</f>
        <v>Speaker</v>
      </c>
      <c r="K216" s="4" t="str">
        <f aca="false">Orders_Raw!H216</f>
        <v>2026-03-06 11:44</v>
      </c>
      <c r="L216" s="4" t="str">
        <f aca="false">IF(COUNTIF(Orders_Raw!$A$5:$A$539,A216)&gt;1,"YES","No")</f>
        <v>No</v>
      </c>
      <c r="M216" s="4" t="str">
        <f aca="false">IF(COUNTIFS($B$5:$B$539,B216,$D$5:$D$539,D216,$F$5:$F$539,F216)&gt;1,"YES","No")</f>
        <v>No</v>
      </c>
      <c r="N216" s="4" t="str">
        <f aca="false">IFERROR(INDEX(Customer_Master!$B$5:$B$64,MATCH(B216,Customer_Master!$A$5:$A$64,0)),"UNMATCHED")</f>
        <v>Chidi Ajayi</v>
      </c>
      <c r="O216" s="4" t="str">
        <f aca="false">IFERROR(INDEX(Customer_Master!$C$5:$C$64,MATCH(B216,Customer_Master!$A$5:$A$64,0)),"UNMATCHED")</f>
        <v>At Risk</v>
      </c>
      <c r="P216" s="4" t="str">
        <f aca="false">IFERROR(INDEX(Customer_Master!$D$5:$D$64,MATCH(B216,Customer_Master!$A$5:$A$64,0)),"UNMATCHED")</f>
        <v>Abuja</v>
      </c>
      <c r="Q216" s="4" t="str">
        <f aca="false">IF(N216="UNMATCHED","Unmatched","Matched")</f>
        <v>Matched</v>
      </c>
      <c r="R216" s="4" t="str">
        <f aca="false">IF(OR(E216="No",G216="No",I216="No",L216="YES",Q216="Unmatched"),"NEEDS REVIEW","OK")</f>
        <v>OK</v>
      </c>
    </row>
    <row r="217" customFormat="false" ht="15" hidden="false" customHeight="false" outlineLevel="0" collapsed="false">
      <c r="A217" s="4" t="str">
        <f aca="false">Orders_Raw!A217</f>
        <v>ORD00352</v>
      </c>
      <c r="B217" s="4" t="str">
        <f aca="false">TRIM(UPPER(Orders_Raw!B217))</f>
        <v>CUST0016</v>
      </c>
      <c r="C217" s="4" t="str">
        <f aca="false">PROPER(TRIM(Orders_Raw!C217))</f>
        <v>Chidi Ajayi</v>
      </c>
      <c r="D217" s="6" t="n">
        <f aca="false">IFERROR(DATEVALUE(Orders_Raw!D217),"")</f>
        <v>46093</v>
      </c>
      <c r="E217" s="4" t="str">
        <f aca="false">IF(D217="","No","Yes")</f>
        <v>Yes</v>
      </c>
      <c r="F217" s="4" t="n">
        <f aca="false">IFERROR(VALUE(SUBSTITUTE(SUBSTITUTE(SUBSTITUTE(Orders_Raw!G217,"$",""),"NGN",""),",","")),"")</f>
        <v>348.75</v>
      </c>
      <c r="G217" s="4" t="str">
        <f aca="false">IF(F217="","No","Yes")</f>
        <v>Yes</v>
      </c>
      <c r="H217" s="4" t="str">
        <f aca="false">Orders_Raw!F217</f>
        <v>2</v>
      </c>
      <c r="I217" s="4" t="str">
        <f aca="false">IF(H217="","No",IF(H217&lt;=0,"No","Yes"))</f>
        <v>Yes</v>
      </c>
      <c r="J217" s="4" t="str">
        <f aca="false">Orders_Raw!E217</f>
        <v>Mouse</v>
      </c>
      <c r="K217" s="4" t="str">
        <f aca="false">Orders_Raw!H217</f>
        <v>2026-03-12 15:35</v>
      </c>
      <c r="L217" s="4" t="str">
        <f aca="false">IF(COUNTIF(Orders_Raw!$A$5:$A$539,A217)&gt;1,"YES","No")</f>
        <v>No</v>
      </c>
      <c r="M217" s="4" t="str">
        <f aca="false">IF(COUNTIFS($B$5:$B$539,B217,$D$5:$D$539,D217,$F$5:$F$539,F217)&gt;1,"YES","No")</f>
        <v>No</v>
      </c>
      <c r="N217" s="4" t="str">
        <f aca="false">IFERROR(INDEX(Customer_Master!$B$5:$B$64,MATCH(B217,Customer_Master!$A$5:$A$64,0)),"UNMATCHED")</f>
        <v>Chidi Ajayi</v>
      </c>
      <c r="O217" s="4" t="str">
        <f aca="false">IFERROR(INDEX(Customer_Master!$C$5:$C$64,MATCH(B217,Customer_Master!$A$5:$A$64,0)),"UNMATCHED")</f>
        <v>At Risk</v>
      </c>
      <c r="P217" s="4" t="str">
        <f aca="false">IFERROR(INDEX(Customer_Master!$D$5:$D$64,MATCH(B217,Customer_Master!$A$5:$A$64,0)),"UNMATCHED")</f>
        <v>Abuja</v>
      </c>
      <c r="Q217" s="4" t="str">
        <f aca="false">IF(N217="UNMATCHED","Unmatched","Matched")</f>
        <v>Matched</v>
      </c>
      <c r="R217" s="4" t="str">
        <f aca="false">IF(OR(E217="No",G217="No",I217="No",L217="YES",Q217="Unmatched"),"NEEDS REVIEW","OK")</f>
        <v>OK</v>
      </c>
    </row>
    <row r="218" customFormat="false" ht="15" hidden="false" customHeight="false" outlineLevel="0" collapsed="false">
      <c r="A218" s="4" t="str">
        <f aca="false">Orders_Raw!A218</f>
        <v>ORD00274</v>
      </c>
      <c r="B218" s="4" t="str">
        <f aca="false">TRIM(UPPER(Orders_Raw!B218))</f>
        <v>CUST0036</v>
      </c>
      <c r="C218" s="4" t="str">
        <f aca="false">PROPER(TRIM(Orders_Raw!C218))</f>
        <v>Esther Umeh</v>
      </c>
      <c r="D218" s="6" t="n">
        <f aca="false">IFERROR(DATEVALUE(Orders_Raw!D218),"")</f>
        <v>46090</v>
      </c>
      <c r="E218" s="4" t="str">
        <f aca="false">IF(D218="","No","Yes")</f>
        <v>Yes</v>
      </c>
      <c r="F218" s="4" t="n">
        <f aca="false">IFERROR(VALUE(SUBSTITUTE(SUBSTITUTE(SUBSTITUTE(Orders_Raw!G218,"$",""),"NGN",""),",","")),"")</f>
        <v>754.04</v>
      </c>
      <c r="G218" s="4" t="str">
        <f aca="false">IF(F218="","No","Yes")</f>
        <v>Yes</v>
      </c>
      <c r="H218" s="4" t="str">
        <f aca="false">Orders_Raw!F218</f>
        <v>1</v>
      </c>
      <c r="I218" s="4" t="str">
        <f aca="false">IF(H218="","No",IF(H218&lt;=0,"No","Yes"))</f>
        <v>Yes</v>
      </c>
      <c r="J218" s="4" t="str">
        <f aca="false">Orders_Raw!E218</f>
        <v>Printer</v>
      </c>
      <c r="K218" s="4" t="str">
        <f aca="false">Orders_Raw!H218</f>
        <v>2026-03-09 10:03</v>
      </c>
      <c r="L218" s="4" t="str">
        <f aca="false">IF(COUNTIF(Orders_Raw!$A$5:$A$539,A218)&gt;1,"YES","No")</f>
        <v>No</v>
      </c>
      <c r="M218" s="4" t="str">
        <f aca="false">IF(COUNTIFS($B$5:$B$539,B218,$D$5:$D$539,D218,$F$5:$F$539,F218)&gt;1,"YES","No")</f>
        <v>No</v>
      </c>
      <c r="N218" s="4" t="str">
        <f aca="false">IFERROR(INDEX(Customer_Master!$B$5:$B$64,MATCH(B218,Customer_Master!$A$5:$A$64,0)),"UNMATCHED")</f>
        <v>Esther Umeh</v>
      </c>
      <c r="O218" s="4" t="str">
        <f aca="false">IFERROR(INDEX(Customer_Master!$C$5:$C$64,MATCH(B218,Customer_Master!$A$5:$A$64,0)),"UNMATCHED")</f>
        <v>Champions</v>
      </c>
      <c r="P218" s="4" t="str">
        <f aca="false">IFERROR(INDEX(Customer_Master!$D$5:$D$64,MATCH(B218,Customer_Master!$A$5:$A$64,0)),"UNMATCHED")</f>
        <v>Ibadan</v>
      </c>
      <c r="Q218" s="4" t="str">
        <f aca="false">IF(N218="UNMATCHED","Unmatched","Matched")</f>
        <v>Matched</v>
      </c>
      <c r="R218" s="4" t="str">
        <f aca="false">IF(OR(E218="No",G218="No",I218="No",L218="YES",Q218="Unmatched"),"NEEDS REVIEW","OK")</f>
        <v>OK</v>
      </c>
    </row>
    <row r="219" customFormat="false" ht="15" hidden="false" customHeight="false" outlineLevel="0" collapsed="false">
      <c r="A219" s="4" t="str">
        <f aca="false">Orders_Raw!A219</f>
        <v>ORD00089</v>
      </c>
      <c r="B219" s="4" t="str">
        <f aca="false">TRIM(UPPER(Orders_Raw!B219))</f>
        <v>CUST0060</v>
      </c>
      <c r="C219" s="4" t="str">
        <f aca="false">PROPER(TRIM(Orders_Raw!C219))</f>
        <v>James Umeh</v>
      </c>
      <c r="D219" s="6" t="str">
        <f aca="false">IFERROR(DATEVALUE(Orders_Raw!D219),"")</f>
        <v/>
      </c>
      <c r="E219" s="4" t="str">
        <f aca="false">IF(D219="","No","Yes")</f>
        <v>No</v>
      </c>
      <c r="F219" s="4" t="n">
        <f aca="false">IFERROR(VALUE(SUBSTITUTE(SUBSTITUTE(SUBSTITUTE(Orders_Raw!G219,"$",""),"NGN",""),",","")),"")</f>
        <v>1088.21</v>
      </c>
      <c r="G219" s="4" t="str">
        <f aca="false">IF(F219="","No","Yes")</f>
        <v>Yes</v>
      </c>
      <c r="H219" s="4" t="str">
        <f aca="false">Orders_Raw!F219</f>
        <v>5</v>
      </c>
      <c r="I219" s="4" t="str">
        <f aca="false">IF(H219="","No",IF(H219&lt;=0,"No","Yes"))</f>
        <v>Yes</v>
      </c>
      <c r="J219" s="4" t="str">
        <f aca="false">Orders_Raw!E219</f>
        <v>Tablet</v>
      </c>
      <c r="K219" s="4" t="str">
        <f aca="false">Orders_Raw!H219</f>
        <v>2026-01-22 16:21</v>
      </c>
      <c r="L219" s="4" t="str">
        <f aca="false">IF(COUNTIF(Orders_Raw!$A$5:$A$539,A219)&gt;1,"YES","No")</f>
        <v>No</v>
      </c>
      <c r="M219" s="4" t="str">
        <f aca="false">IF(COUNTIFS($B$5:$B$539,B219,$D$5:$D$539,D219,$F$5:$F$539,F219)&gt;1,"YES","No")</f>
        <v>No</v>
      </c>
      <c r="N219" s="4" t="str">
        <f aca="false">IFERROR(INDEX(Customer_Master!$B$5:$B$64,MATCH(B219,Customer_Master!$A$5:$A$64,0)),"UNMATCHED")</f>
        <v>James Umeh</v>
      </c>
      <c r="O219" s="4" t="str">
        <f aca="false">IFERROR(INDEX(Customer_Master!$C$5:$C$64,MATCH(B219,Customer_Master!$A$5:$A$64,0)),"UNMATCHED")</f>
        <v>Champions</v>
      </c>
      <c r="P219" s="4" t="str">
        <f aca="false">IFERROR(INDEX(Customer_Master!$D$5:$D$64,MATCH(B219,Customer_Master!$A$5:$A$64,0)),"UNMATCHED")</f>
        <v>Kano</v>
      </c>
      <c r="Q219" s="4" t="str">
        <f aca="false">IF(N219="UNMATCHED","Unmatched","Matched")</f>
        <v>Matched</v>
      </c>
      <c r="R219" s="4" t="str">
        <f aca="false">IF(OR(E219="No",G219="No",I219="No",L219="YES",Q219="Unmatched"),"NEEDS REVIEW","OK")</f>
        <v>NEEDS REVIEW</v>
      </c>
    </row>
    <row r="220" customFormat="false" ht="15" hidden="false" customHeight="false" outlineLevel="0" collapsed="false">
      <c r="A220" s="4" t="str">
        <f aca="false">Orders_Raw!A220</f>
        <v>ORD00419</v>
      </c>
      <c r="B220" s="4" t="str">
        <f aca="false">TRIM(UPPER(Orders_Raw!B220))</f>
        <v>CUSTO056</v>
      </c>
      <c r="C220" s="4" t="str">
        <f aca="false">PROPER(TRIM(Orders_Raw!C220))</f>
        <v>Tunde Yakubu</v>
      </c>
      <c r="D220" s="6" t="str">
        <f aca="false">IFERROR(DATEVALUE(Orders_Raw!D220),"")</f>
        <v/>
      </c>
      <c r="E220" s="4" t="str">
        <f aca="false">IF(D220="","No","Yes")</f>
        <v>No</v>
      </c>
      <c r="F220" s="4" t="n">
        <f aca="false">IFERROR(VALUE(SUBSTITUTE(SUBSTITUTE(SUBSTITUTE(Orders_Raw!G220,"$",""),"NGN",""),",","")),"")</f>
        <v>94.07</v>
      </c>
      <c r="G220" s="4" t="str">
        <f aca="false">IF(F220="","No","Yes")</f>
        <v>Yes</v>
      </c>
      <c r="H220" s="4" t="str">
        <f aca="false">Orders_Raw!F220</f>
        <v>4</v>
      </c>
      <c r="I220" s="4" t="str">
        <f aca="false">IF(H220="","No",IF(H220&lt;=0,"No","Yes"))</f>
        <v>Yes</v>
      </c>
      <c r="J220" s="4" t="str">
        <f aca="false">Orders_Raw!E220</f>
        <v>Speaker</v>
      </c>
      <c r="K220" s="4" t="str">
        <f aca="false">Orders_Raw!H220</f>
        <v>2026-02-19 12:03</v>
      </c>
      <c r="L220" s="4" t="str">
        <f aca="false">IF(COUNTIF(Orders_Raw!$A$5:$A$539,A220)&gt;1,"YES","No")</f>
        <v>No</v>
      </c>
      <c r="M220" s="4" t="str">
        <f aca="false">IF(COUNTIFS($B$5:$B$539,B220,$D$5:$D$539,D220,$F$5:$F$539,F220)&gt;1,"YES","No")</f>
        <v>No</v>
      </c>
      <c r="N220" s="4" t="str">
        <f aca="false">IFERROR(INDEX(Customer_Master!$B$5:$B$64,MATCH(B220,Customer_Master!$A$5:$A$64,0)),"UNMATCHED")</f>
        <v>UNMATCHED</v>
      </c>
      <c r="O220" s="4" t="str">
        <f aca="false">IFERROR(INDEX(Customer_Master!$C$5:$C$64,MATCH(B220,Customer_Master!$A$5:$A$64,0)),"UNMATCHED")</f>
        <v>UNMATCHED</v>
      </c>
      <c r="P220" s="4" t="str">
        <f aca="false">IFERROR(INDEX(Customer_Master!$D$5:$D$64,MATCH(B220,Customer_Master!$A$5:$A$64,0)),"UNMATCHED")</f>
        <v>UNMATCHED</v>
      </c>
      <c r="Q220" s="4" t="str">
        <f aca="false">IF(N220="UNMATCHED","Unmatched","Matched")</f>
        <v>Unmatched</v>
      </c>
      <c r="R220" s="4" t="str">
        <f aca="false">IF(OR(E220="No",G220="No",I220="No",L220="YES",Q220="Unmatched"),"NEEDS REVIEW","OK")</f>
        <v>NEEDS REVIEW</v>
      </c>
    </row>
    <row r="221" customFormat="false" ht="15" hidden="false" customHeight="false" outlineLevel="0" collapsed="false">
      <c r="A221" s="4" t="str">
        <f aca="false">Orders_Raw!A221</f>
        <v>ORD00034</v>
      </c>
      <c r="B221" s="4" t="str">
        <f aca="false">TRIM(UPPER(Orders_Raw!B221))</f>
        <v>CUST0013</v>
      </c>
      <c r="C221" s="4" t="str">
        <f aca="false">PROPER(TRIM(Orders_Raw!C221))</f>
        <v>Joy Lawal</v>
      </c>
      <c r="D221" s="6" t="n">
        <f aca="false">IFERROR(DATEVALUE(Orders_Raw!D221),"")</f>
        <v>46062</v>
      </c>
      <c r="E221" s="4" t="str">
        <f aca="false">IF(D221="","No","Yes")</f>
        <v>Yes</v>
      </c>
      <c r="F221" s="4" t="n">
        <f aca="false">IFERROR(VALUE(SUBSTITUTE(SUBSTITUTE(SUBSTITUTE(Orders_Raw!G221,"$",""),"NGN",""),",","")),"")</f>
        <v>328.66</v>
      </c>
      <c r="G221" s="4" t="str">
        <f aca="false">IF(F221="","No","Yes")</f>
        <v>Yes</v>
      </c>
      <c r="H221" s="4" t="str">
        <f aca="false">Orders_Raw!F221</f>
        <v>3</v>
      </c>
      <c r="I221" s="4" t="str">
        <f aca="false">IF(H221="","No",IF(H221&lt;=0,"No","Yes"))</f>
        <v>Yes</v>
      </c>
      <c r="J221" s="4" t="str">
        <f aca="false">Orders_Raw!E221</f>
        <v>Mouse</v>
      </c>
      <c r="K221" s="4" t="str">
        <f aca="false">Orders_Raw!H221</f>
        <v>2026-02-09 13:10</v>
      </c>
      <c r="L221" s="4" t="str">
        <f aca="false">IF(COUNTIF(Orders_Raw!$A$5:$A$539,A221)&gt;1,"YES","No")</f>
        <v>No</v>
      </c>
      <c r="M221" s="4" t="str">
        <f aca="false">IF(COUNTIFS($B$5:$B$539,B221,$D$5:$D$539,D221,$F$5:$F$539,F221)&gt;1,"YES","No")</f>
        <v>No</v>
      </c>
      <c r="N221" s="4" t="str">
        <f aca="false">IFERROR(INDEX(Customer_Master!$B$5:$B$64,MATCH(B221,Customer_Master!$A$5:$A$64,0)),"UNMATCHED")</f>
        <v>Joy Lawal</v>
      </c>
      <c r="O221" s="4" t="str">
        <f aca="false">IFERROR(INDEX(Customer_Master!$C$5:$C$64,MATCH(B221,Customer_Master!$A$5:$A$64,0)),"UNMATCHED")</f>
        <v>Lost / Low-Value</v>
      </c>
      <c r="P221" s="4" t="str">
        <f aca="false">IFERROR(INDEX(Customer_Master!$D$5:$D$64,MATCH(B221,Customer_Master!$A$5:$A$64,0)),"UNMATCHED")</f>
        <v>Abuja</v>
      </c>
      <c r="Q221" s="4" t="str">
        <f aca="false">IF(N221="UNMATCHED","Unmatched","Matched")</f>
        <v>Matched</v>
      </c>
      <c r="R221" s="4" t="str">
        <f aca="false">IF(OR(E221="No",G221="No",I221="No",L221="YES",Q221="Unmatched"),"NEEDS REVIEW","OK")</f>
        <v>OK</v>
      </c>
    </row>
    <row r="222" customFormat="false" ht="15" hidden="false" customHeight="false" outlineLevel="0" collapsed="false">
      <c r="A222" s="4" t="str">
        <f aca="false">Orders_Raw!A222</f>
        <v>ORD00411</v>
      </c>
      <c r="B222" s="4" t="str">
        <f aca="false">TRIM(UPPER(Orders_Raw!B222))</f>
        <v>CUST0020</v>
      </c>
      <c r="C222" s="4" t="str">
        <f aca="false">PROPER(TRIM(Orders_Raw!C222))</f>
        <v>Mary Okafor</v>
      </c>
      <c r="D222" s="6" t="n">
        <f aca="false">IFERROR(DATEVALUE(Orders_Raw!D222),"")</f>
        <v>46193</v>
      </c>
      <c r="E222" s="4" t="str">
        <f aca="false">IF(D222="","No","Yes")</f>
        <v>Yes</v>
      </c>
      <c r="F222" s="4" t="n">
        <f aca="false">IFERROR(VALUE(SUBSTITUTE(SUBSTITUTE(SUBSTITUTE(Orders_Raw!G222,"$",""),"NGN",""),",","")),"")</f>
        <v>2433.59</v>
      </c>
      <c r="G222" s="4" t="str">
        <f aca="false">IF(F222="","No","Yes")</f>
        <v>Yes</v>
      </c>
      <c r="H222" s="4" t="str">
        <f aca="false">Orders_Raw!F222</f>
        <v>-4</v>
      </c>
      <c r="I222" s="4" t="str">
        <f aca="false">IF(H222="","No",IF(H222&lt;=0,"No","Yes"))</f>
        <v>Yes</v>
      </c>
      <c r="J222" s="4" t="str">
        <f aca="false">Orders_Raw!E222</f>
        <v>Mouse</v>
      </c>
      <c r="K222" s="4" t="str">
        <f aca="false">Orders_Raw!H222</f>
        <v>2026-06-20 17:07</v>
      </c>
      <c r="L222" s="4" t="str">
        <f aca="false">IF(COUNTIF(Orders_Raw!$A$5:$A$539,A222)&gt;1,"YES","No")</f>
        <v>No</v>
      </c>
      <c r="M222" s="4" t="str">
        <f aca="false">IF(COUNTIFS($B$5:$B$539,B222,$D$5:$D$539,D222,$F$5:$F$539,F222)&gt;1,"YES","No")</f>
        <v>No</v>
      </c>
      <c r="N222" s="4" t="str">
        <f aca="false">IFERROR(INDEX(Customer_Master!$B$5:$B$64,MATCH(B222,Customer_Master!$A$5:$A$64,0)),"UNMATCHED")</f>
        <v>Mary Okafor</v>
      </c>
      <c r="O222" s="4" t="str">
        <f aca="false">IFERROR(INDEX(Customer_Master!$C$5:$C$64,MATCH(B222,Customer_Master!$A$5:$A$64,0)),"UNMATCHED")</f>
        <v>New</v>
      </c>
      <c r="P222" s="4" t="str">
        <f aca="false">IFERROR(INDEX(Customer_Master!$D$5:$D$64,MATCH(B222,Customer_Master!$A$5:$A$64,0)),"UNMATCHED")</f>
        <v>Port Harcourt</v>
      </c>
      <c r="Q222" s="4" t="str">
        <f aca="false">IF(N222="UNMATCHED","Unmatched","Matched")</f>
        <v>Matched</v>
      </c>
      <c r="R222" s="4" t="str">
        <f aca="false">IF(OR(E222="No",G222="No",I222="No",L222="YES",Q222="Unmatched"),"NEEDS REVIEW","OK")</f>
        <v>OK</v>
      </c>
    </row>
    <row r="223" customFormat="false" ht="15" hidden="false" customHeight="false" outlineLevel="0" collapsed="false">
      <c r="A223" s="4" t="str">
        <f aca="false">Orders_Raw!A223</f>
        <v>ORD00175</v>
      </c>
      <c r="B223" s="4" t="str">
        <f aca="false">TRIM(UPPER(Orders_Raw!B223))</f>
        <v>CUST0044</v>
      </c>
      <c r="C223" s="4" t="str">
        <f aca="false">PROPER(TRIM(Orders_Raw!C223))</f>
        <v>Emeka Yakubu</v>
      </c>
      <c r="D223" s="6" t="n">
        <f aca="false">IFERROR(DATEVALUE(Orders_Raw!D223),"")</f>
        <v>46115</v>
      </c>
      <c r="E223" s="4" t="str">
        <f aca="false">IF(D223="","No","Yes")</f>
        <v>Yes</v>
      </c>
      <c r="F223" s="4" t="n">
        <f aca="false">IFERROR(VALUE(SUBSTITUTE(SUBSTITUTE(SUBSTITUTE(Orders_Raw!G223,"$",""),"NGN",""),",","")),"")</f>
        <v>1014.63</v>
      </c>
      <c r="G223" s="4" t="str">
        <f aca="false">IF(F223="","No","Yes")</f>
        <v>Yes</v>
      </c>
      <c r="H223" s="4" t="str">
        <f aca="false">Orders_Raw!F223</f>
        <v>3</v>
      </c>
      <c r="I223" s="4" t="str">
        <f aca="false">IF(H223="","No",IF(H223&lt;=0,"No","Yes"))</f>
        <v>Yes</v>
      </c>
      <c r="J223" s="4" t="str">
        <f aca="false">Orders_Raw!E223</f>
        <v>Laptop</v>
      </c>
      <c r="K223" s="4" t="str">
        <f aca="false">Orders_Raw!H223</f>
        <v>2026-03-04 10:32</v>
      </c>
      <c r="L223" s="4" t="str">
        <f aca="false">IF(COUNTIF(Orders_Raw!$A$5:$A$539,A223)&gt;1,"YES","No")</f>
        <v>No</v>
      </c>
      <c r="M223" s="4" t="str">
        <f aca="false">IF(COUNTIFS($B$5:$B$539,B223,$D$5:$D$539,D223,$F$5:$F$539,F223)&gt;1,"YES","No")</f>
        <v>No</v>
      </c>
      <c r="N223" s="4" t="str">
        <f aca="false">IFERROR(INDEX(Customer_Master!$B$5:$B$64,MATCH(B223,Customer_Master!$A$5:$A$64,0)),"UNMATCHED")</f>
        <v>Emeka Yakubu</v>
      </c>
      <c r="O223" s="4" t="str">
        <f aca="false">IFERROR(INDEX(Customer_Master!$C$5:$C$64,MATCH(B223,Customer_Master!$A$5:$A$64,0)),"UNMATCHED")</f>
        <v>Champions</v>
      </c>
      <c r="P223" s="4" t="str">
        <f aca="false">IFERROR(INDEX(Customer_Master!$D$5:$D$64,MATCH(B223,Customer_Master!$A$5:$A$64,0)),"UNMATCHED")</f>
        <v>Port Harcourt</v>
      </c>
      <c r="Q223" s="4" t="str">
        <f aca="false">IF(N223="UNMATCHED","Unmatched","Matched")</f>
        <v>Matched</v>
      </c>
      <c r="R223" s="4" t="str">
        <f aca="false">IF(OR(E223="No",G223="No",I223="No",L223="YES",Q223="Unmatched"),"NEEDS REVIEW","OK")</f>
        <v>OK</v>
      </c>
    </row>
    <row r="224" customFormat="false" ht="15" hidden="false" customHeight="false" outlineLevel="0" collapsed="false">
      <c r="A224" s="4" t="str">
        <f aca="false">Orders_Raw!A224</f>
        <v>ORD00353</v>
      </c>
      <c r="B224" s="4" t="str">
        <f aca="false">TRIM(UPPER(Orders_Raw!B224))</f>
        <v>CUST0007</v>
      </c>
      <c r="C224" s="4" t="str">
        <f aca="false">PROPER(TRIM(Orders_Raw!C224))</f>
        <v>Tunde Okonkwo</v>
      </c>
      <c r="D224" s="6" t="n">
        <f aca="false">IFERROR(DATEVALUE(Orders_Raw!D224),"")</f>
        <v>46043</v>
      </c>
      <c r="E224" s="4" t="str">
        <f aca="false">IF(D224="","No","Yes")</f>
        <v>Yes</v>
      </c>
      <c r="F224" s="4" t="n">
        <f aca="false">IFERROR(VALUE(SUBSTITUTE(SUBSTITUTE(SUBSTITUTE(Orders_Raw!G224,"$",""),"NGN",""),",","")),"")</f>
        <v>2148.9</v>
      </c>
      <c r="G224" s="4" t="str">
        <f aca="false">IF(F224="","No","Yes")</f>
        <v>Yes</v>
      </c>
      <c r="H224" s="4" t="str">
        <f aca="false">Orders_Raw!F224</f>
        <v>3</v>
      </c>
      <c r="I224" s="4" t="str">
        <f aca="false">IF(H224="","No",IF(H224&lt;=0,"No","Yes"))</f>
        <v>Yes</v>
      </c>
      <c r="J224" s="4" t="str">
        <f aca="false">Orders_Raw!E224</f>
        <v>Phone</v>
      </c>
      <c r="K224" s="4" t="str">
        <f aca="false">Orders_Raw!H224</f>
        <v>2026-01-21 09:57</v>
      </c>
      <c r="L224" s="4" t="str">
        <f aca="false">IF(COUNTIF(Orders_Raw!$A$5:$A$539,A224)&gt;1,"YES","No")</f>
        <v>No</v>
      </c>
      <c r="M224" s="4" t="str">
        <f aca="false">IF(COUNTIFS($B$5:$B$539,B224,$D$5:$D$539,D224,$F$5:$F$539,F224)&gt;1,"YES","No")</f>
        <v>No</v>
      </c>
      <c r="N224" s="4" t="str">
        <f aca="false">IFERROR(INDEX(Customer_Master!$B$5:$B$64,MATCH(B224,Customer_Master!$A$5:$A$64,0)),"UNMATCHED")</f>
        <v>Tunde Okonkwo</v>
      </c>
      <c r="O224" s="4" t="str">
        <f aca="false">IFERROR(INDEX(Customer_Master!$C$5:$C$64,MATCH(B224,Customer_Master!$A$5:$A$64,0)),"UNMATCHED")</f>
        <v>New</v>
      </c>
      <c r="P224" s="4" t="str">
        <f aca="false">IFERROR(INDEX(Customer_Master!$D$5:$D$64,MATCH(B224,Customer_Master!$A$5:$A$64,0)),"UNMATCHED")</f>
        <v>Ibadan</v>
      </c>
      <c r="Q224" s="4" t="str">
        <f aca="false">IF(N224="UNMATCHED","Unmatched","Matched")</f>
        <v>Matched</v>
      </c>
      <c r="R224" s="4" t="str">
        <f aca="false">IF(OR(E224="No",G224="No",I224="No",L224="YES",Q224="Unmatched"),"NEEDS REVIEW","OK")</f>
        <v>OK</v>
      </c>
    </row>
    <row r="225" customFormat="false" ht="15" hidden="false" customHeight="false" outlineLevel="0" collapsed="false">
      <c r="A225" s="4" t="str">
        <f aca="false">Orders_Raw!A225</f>
        <v>ORD00076</v>
      </c>
      <c r="B225" s="4" t="str">
        <f aca="false">TRIM(UPPER(Orders_Raw!B225))</f>
        <v>CUST0044</v>
      </c>
      <c r="C225" s="4" t="str">
        <f aca="false">PROPER(TRIM(Orders_Raw!C225))</f>
        <v>Emeka Yakubu</v>
      </c>
      <c r="D225" s="6" t="n">
        <f aca="false">IFERROR(DATEVALUE(Orders_Raw!D225),"")</f>
        <v>46186</v>
      </c>
      <c r="E225" s="4" t="str">
        <f aca="false">IF(D225="","No","Yes")</f>
        <v>Yes</v>
      </c>
      <c r="F225" s="4" t="n">
        <f aca="false">IFERROR(VALUE(SUBSTITUTE(SUBSTITUTE(SUBSTITUTE(Orders_Raw!G225,"$",""),"NGN",""),",","")),"")</f>
        <v>284.24</v>
      </c>
      <c r="G225" s="4" t="str">
        <f aca="false">IF(F225="","No","Yes")</f>
        <v>Yes</v>
      </c>
      <c r="H225" s="4" t="n">
        <f aca="false">Orders_Raw!F225</f>
        <v>0</v>
      </c>
      <c r="I225" s="4" t="str">
        <f aca="false">IF(H225="","No",IF(H225&lt;=0,"No","Yes"))</f>
        <v>No</v>
      </c>
      <c r="J225" s="4" t="str">
        <f aca="false">Orders_Raw!E225</f>
        <v>Tablet</v>
      </c>
      <c r="K225" s="4" t="str">
        <f aca="false">Orders_Raw!H225</f>
        <v>2026-06-13 13:58</v>
      </c>
      <c r="L225" s="4" t="str">
        <f aca="false">IF(COUNTIF(Orders_Raw!$A$5:$A$539,A225)&gt;1,"YES","No")</f>
        <v>No</v>
      </c>
      <c r="M225" s="4" t="str">
        <f aca="false">IF(COUNTIFS($B$5:$B$539,B225,$D$5:$D$539,D225,$F$5:$F$539,F225)&gt;1,"YES","No")</f>
        <v>No</v>
      </c>
      <c r="N225" s="4" t="str">
        <f aca="false">IFERROR(INDEX(Customer_Master!$B$5:$B$64,MATCH(B225,Customer_Master!$A$5:$A$64,0)),"UNMATCHED")</f>
        <v>Emeka Yakubu</v>
      </c>
      <c r="O225" s="4" t="str">
        <f aca="false">IFERROR(INDEX(Customer_Master!$C$5:$C$64,MATCH(B225,Customer_Master!$A$5:$A$64,0)),"UNMATCHED")</f>
        <v>Champions</v>
      </c>
      <c r="P225" s="4" t="str">
        <f aca="false">IFERROR(INDEX(Customer_Master!$D$5:$D$64,MATCH(B225,Customer_Master!$A$5:$A$64,0)),"UNMATCHED")</f>
        <v>Port Harcourt</v>
      </c>
      <c r="Q225" s="4" t="str">
        <f aca="false">IF(N225="UNMATCHED","Unmatched","Matched")</f>
        <v>Matched</v>
      </c>
      <c r="R225" s="4" t="str">
        <f aca="false">IF(OR(E225="No",G225="No",I225="No",L225="YES",Q225="Unmatched"),"NEEDS REVIEW","OK")</f>
        <v>NEEDS REVIEW</v>
      </c>
    </row>
    <row r="226" customFormat="false" ht="15" hidden="false" customHeight="false" outlineLevel="0" collapsed="false">
      <c r="A226" s="4" t="str">
        <f aca="false">Orders_Raw!A226</f>
        <v>ORD00006</v>
      </c>
      <c r="B226" s="4" t="str">
        <f aca="false">TRIM(UPPER(Orders_Raw!B226))</f>
        <v>CUST0003</v>
      </c>
      <c r="C226" s="4" t="str">
        <f aca="false">PROPER(TRIM(Orders_Raw!C226))</f>
        <v>Chidi Adamu</v>
      </c>
      <c r="D226" s="6" t="n">
        <f aca="false">IFERROR(DATEVALUE(Orders_Raw!D226),"")</f>
        <v>46191</v>
      </c>
      <c r="E226" s="4" t="str">
        <f aca="false">IF(D226="","No","Yes")</f>
        <v>Yes</v>
      </c>
      <c r="F226" s="4" t="n">
        <f aca="false">IFERROR(VALUE(SUBSTITUTE(SUBSTITUTE(SUBSTITUTE(Orders_Raw!G226,"$",""),"NGN",""),",","")),"")</f>
        <v>1419.59</v>
      </c>
      <c r="G226" s="4" t="str">
        <f aca="false">IF(F226="","No","Yes")</f>
        <v>Yes</v>
      </c>
      <c r="H226" s="4" t="str">
        <f aca="false">Orders_Raw!F226</f>
        <v>2</v>
      </c>
      <c r="I226" s="4" t="str">
        <f aca="false">IF(H226="","No",IF(H226&lt;=0,"No","Yes"))</f>
        <v>Yes</v>
      </c>
      <c r="J226" s="4" t="str">
        <f aca="false">Orders_Raw!E226</f>
        <v>Charger</v>
      </c>
      <c r="K226" s="4" t="str">
        <f aca="false">Orders_Raw!H226</f>
        <v>2026-06-18 12:25</v>
      </c>
      <c r="L226" s="4" t="str">
        <f aca="false">IF(COUNTIF(Orders_Raw!$A$5:$A$539,A226)&gt;1,"YES","No")</f>
        <v>No</v>
      </c>
      <c r="M226" s="4" t="str">
        <f aca="false">IF(COUNTIFS($B$5:$B$539,B226,$D$5:$D$539,D226,$F$5:$F$539,F226)&gt;1,"YES","No")</f>
        <v>No</v>
      </c>
      <c r="N226" s="4" t="str">
        <f aca="false">IFERROR(INDEX(Customer_Master!$B$5:$B$64,MATCH(B226,Customer_Master!$A$5:$A$64,0)),"UNMATCHED")</f>
        <v>Chidi Adamu</v>
      </c>
      <c r="O226" s="4" t="str">
        <f aca="false">IFERROR(INDEX(Customer_Master!$C$5:$C$64,MATCH(B226,Customer_Master!$A$5:$A$64,0)),"UNMATCHED")</f>
        <v>Champions</v>
      </c>
      <c r="P226" s="4" t="str">
        <f aca="false">IFERROR(INDEX(Customer_Master!$D$5:$D$64,MATCH(B226,Customer_Master!$A$5:$A$64,0)),"UNMATCHED")</f>
        <v>Enugu</v>
      </c>
      <c r="Q226" s="4" t="str">
        <f aca="false">IF(N226="UNMATCHED","Unmatched","Matched")</f>
        <v>Matched</v>
      </c>
      <c r="R226" s="4" t="str">
        <f aca="false">IF(OR(E226="No",G226="No",I226="No",L226="YES",Q226="Unmatched"),"NEEDS REVIEW","OK")</f>
        <v>OK</v>
      </c>
    </row>
    <row r="227" customFormat="false" ht="15" hidden="false" customHeight="false" outlineLevel="0" collapsed="false">
      <c r="A227" s="4" t="str">
        <f aca="false">Orders_Raw!A227</f>
        <v>ORD00161</v>
      </c>
      <c r="B227" s="4" t="str">
        <f aca="false">TRIM(UPPER(Orders_Raw!B227))</f>
        <v>CUST0034</v>
      </c>
      <c r="C227" s="4" t="str">
        <f aca="false">PROPER(TRIM(Orders_Raw!C227))</f>
        <v>Samuel Sani</v>
      </c>
      <c r="D227" s="6" t="n">
        <f aca="false">IFERROR(DATEVALUE(Orders_Raw!D227),"")</f>
        <v>46300</v>
      </c>
      <c r="E227" s="4" t="str">
        <f aca="false">IF(D227="","No","Yes")</f>
        <v>Yes</v>
      </c>
      <c r="F227" s="4" t="n">
        <f aca="false">IFERROR(VALUE(SUBSTITUTE(SUBSTITUTE(SUBSTITUTE(Orders_Raw!G227,"$",""),"NGN",""),",","")),"")</f>
        <v>693</v>
      </c>
      <c r="G227" s="4" t="str">
        <f aca="false">IF(F227="","No","Yes")</f>
        <v>Yes</v>
      </c>
      <c r="H227" s="4" t="str">
        <f aca="false">Orders_Raw!F227</f>
        <v>2</v>
      </c>
      <c r="I227" s="4" t="str">
        <f aca="false">IF(H227="","No",IF(H227&lt;=0,"No","Yes"))</f>
        <v>Yes</v>
      </c>
      <c r="J227" s="4" t="str">
        <f aca="false">Orders_Raw!E227</f>
        <v>Mouse</v>
      </c>
      <c r="K227" s="4" t="str">
        <f aca="false">Orders_Raw!H227</f>
        <v>2026-05-10 10:00</v>
      </c>
      <c r="L227" s="4" t="str">
        <f aca="false">IF(COUNTIF(Orders_Raw!$A$5:$A$539,A227)&gt;1,"YES","No")</f>
        <v>No</v>
      </c>
      <c r="M227" s="4" t="str">
        <f aca="false">IF(COUNTIFS($B$5:$B$539,B227,$D$5:$D$539,D227,$F$5:$F$539,F227)&gt;1,"YES","No")</f>
        <v>No</v>
      </c>
      <c r="N227" s="4" t="str">
        <f aca="false">IFERROR(INDEX(Customer_Master!$B$5:$B$64,MATCH(B227,Customer_Master!$A$5:$A$64,0)),"UNMATCHED")</f>
        <v>Samuel Sani</v>
      </c>
      <c r="O227" s="4" t="str">
        <f aca="false">IFERROR(INDEX(Customer_Master!$C$5:$C$64,MATCH(B227,Customer_Master!$A$5:$A$64,0)),"UNMATCHED")</f>
        <v>New</v>
      </c>
      <c r="P227" s="4" t="str">
        <f aca="false">IFERROR(INDEX(Customer_Master!$D$5:$D$64,MATCH(B227,Customer_Master!$A$5:$A$64,0)),"UNMATCHED")</f>
        <v>Lagos</v>
      </c>
      <c r="Q227" s="4" t="str">
        <f aca="false">IF(N227="UNMATCHED","Unmatched","Matched")</f>
        <v>Matched</v>
      </c>
      <c r="R227" s="4" t="str">
        <f aca="false">IF(OR(E227="No",G227="No",I227="No",L227="YES",Q227="Unmatched"),"NEEDS REVIEW","OK")</f>
        <v>OK</v>
      </c>
    </row>
    <row r="228" customFormat="false" ht="15" hidden="false" customHeight="false" outlineLevel="0" collapsed="false">
      <c r="A228" s="4" t="str">
        <f aca="false">Orders_Raw!A228</f>
        <v>ORD00134</v>
      </c>
      <c r="B228" s="4" t="str">
        <f aca="false">TRIM(UPPER(Orders_Raw!B228))</f>
        <v>CUST0050</v>
      </c>
      <c r="C228" s="4" t="str">
        <f aca="false">PROPER(TRIM(Orders_Raw!C228))</f>
        <v>Ngozi Duru</v>
      </c>
      <c r="D228" s="6" t="n">
        <f aca="false">IFERROR(DATEVALUE(Orders_Raw!D228),"")</f>
        <v>46041</v>
      </c>
      <c r="E228" s="4" t="str">
        <f aca="false">IF(D228="","No","Yes")</f>
        <v>Yes</v>
      </c>
      <c r="F228" s="4" t="n">
        <f aca="false">IFERROR(VALUE(SUBSTITUTE(SUBSTITUTE(SUBSTITUTE(Orders_Raw!G228,"$",""),"NGN",""),",","")),"")</f>
        <v>2431.36</v>
      </c>
      <c r="G228" s="4" t="str">
        <f aca="false">IF(F228="","No","Yes")</f>
        <v>Yes</v>
      </c>
      <c r="H228" s="4" t="str">
        <f aca="false">Orders_Raw!F228</f>
        <v>2</v>
      </c>
      <c r="I228" s="4" t="str">
        <f aca="false">IF(H228="","No",IF(H228&lt;=0,"No","Yes"))</f>
        <v>Yes</v>
      </c>
      <c r="J228" s="4" t="str">
        <f aca="false">Orders_Raw!E228</f>
        <v>Headphones</v>
      </c>
      <c r="K228" s="4" t="str">
        <f aca="false">Orders_Raw!H228</f>
        <v>2026-01-19 16:40</v>
      </c>
      <c r="L228" s="4" t="str">
        <f aca="false">IF(COUNTIF(Orders_Raw!$A$5:$A$539,A228)&gt;1,"YES","No")</f>
        <v>No</v>
      </c>
      <c r="M228" s="4" t="str">
        <f aca="false">IF(COUNTIFS($B$5:$B$539,B228,$D$5:$D$539,D228,$F$5:$F$539,F228)&gt;1,"YES","No")</f>
        <v>No</v>
      </c>
      <c r="N228" s="4" t="str">
        <f aca="false">IFERROR(INDEX(Customer_Master!$B$5:$B$64,MATCH(B228,Customer_Master!$A$5:$A$64,0)),"UNMATCHED")</f>
        <v>Ngozi Duru</v>
      </c>
      <c r="O228" s="4" t="str">
        <f aca="false">IFERROR(INDEX(Customer_Master!$C$5:$C$64,MATCH(B228,Customer_Master!$A$5:$A$64,0)),"UNMATCHED")</f>
        <v>New</v>
      </c>
      <c r="P228" s="4" t="str">
        <f aca="false">IFERROR(INDEX(Customer_Master!$D$5:$D$64,MATCH(B228,Customer_Master!$A$5:$A$64,0)),"UNMATCHED")</f>
        <v>Kano</v>
      </c>
      <c r="Q228" s="4" t="str">
        <f aca="false">IF(N228="UNMATCHED","Unmatched","Matched")</f>
        <v>Matched</v>
      </c>
      <c r="R228" s="4" t="str">
        <f aca="false">IF(OR(E228="No",G228="No",I228="No",L228="YES",Q228="Unmatched"),"NEEDS REVIEW","OK")</f>
        <v>OK</v>
      </c>
    </row>
    <row r="229" customFormat="false" ht="15" hidden="false" customHeight="false" outlineLevel="0" collapsed="false">
      <c r="A229" s="4" t="str">
        <f aca="false">Orders_Raw!A229</f>
        <v>ORD00053</v>
      </c>
      <c r="B229" s="4" t="str">
        <f aca="false">TRIM(UPPER(Orders_Raw!B229))</f>
        <v>CUST0021</v>
      </c>
      <c r="C229" s="4" t="str">
        <f aca="false">PROPER(TRIM(Orders_Raw!C229))</f>
        <v>Joy Ajayi</v>
      </c>
      <c r="D229" s="6" t="n">
        <f aca="false">IFERROR(DATEVALUE(Orders_Raw!D229),"")</f>
        <v>46046</v>
      </c>
      <c r="E229" s="4" t="str">
        <f aca="false">IF(D229="","No","Yes")</f>
        <v>Yes</v>
      </c>
      <c r="F229" s="4" t="n">
        <f aca="false">IFERROR(VALUE(SUBSTITUTE(SUBSTITUTE(SUBSTITUTE(Orders_Raw!G229,"$",""),"NGN",""),",","")),"")</f>
        <v>2405.35</v>
      </c>
      <c r="G229" s="4" t="str">
        <f aca="false">IF(F229="","No","Yes")</f>
        <v>Yes</v>
      </c>
      <c r="H229" s="4" t="str">
        <f aca="false">Orders_Raw!F229</f>
        <v>3</v>
      </c>
      <c r="I229" s="4" t="str">
        <f aca="false">IF(H229="","No",IF(H229&lt;=0,"No","Yes"))</f>
        <v>Yes</v>
      </c>
      <c r="J229" s="4" t="str">
        <f aca="false">Orders_Raw!E229</f>
        <v>Mouse</v>
      </c>
      <c r="K229" s="4" t="str">
        <f aca="false">Orders_Raw!H229</f>
        <v>2026-01-24 17:02</v>
      </c>
      <c r="L229" s="4" t="str">
        <f aca="false">IF(COUNTIF(Orders_Raw!$A$5:$A$539,A229)&gt;1,"YES","No")</f>
        <v>No</v>
      </c>
      <c r="M229" s="4" t="str">
        <f aca="false">IF(COUNTIFS($B$5:$B$539,B229,$D$5:$D$539,D229,$F$5:$F$539,F229)&gt;1,"YES","No")</f>
        <v>No</v>
      </c>
      <c r="N229" s="4" t="str">
        <f aca="false">IFERROR(INDEX(Customer_Master!$B$5:$B$64,MATCH(B229,Customer_Master!$A$5:$A$64,0)),"UNMATCHED")</f>
        <v>Joy Ajayi</v>
      </c>
      <c r="O229" s="4" t="str">
        <f aca="false">IFERROR(INDEX(Customer_Master!$C$5:$C$64,MATCH(B229,Customer_Master!$A$5:$A$64,0)),"UNMATCHED")</f>
        <v>Loyal</v>
      </c>
      <c r="P229" s="4" t="str">
        <f aca="false">IFERROR(INDEX(Customer_Master!$D$5:$D$64,MATCH(B229,Customer_Master!$A$5:$A$64,0)),"UNMATCHED")</f>
        <v>Kaduna</v>
      </c>
      <c r="Q229" s="4" t="str">
        <f aca="false">IF(N229="UNMATCHED","Unmatched","Matched")</f>
        <v>Matched</v>
      </c>
      <c r="R229" s="4" t="str">
        <f aca="false">IF(OR(E229="No",G229="No",I229="No",L229="YES",Q229="Unmatched"),"NEEDS REVIEW","OK")</f>
        <v>OK</v>
      </c>
    </row>
    <row r="230" customFormat="false" ht="15" hidden="false" customHeight="false" outlineLevel="0" collapsed="false">
      <c r="A230" s="4" t="str">
        <f aca="false">Orders_Raw!A230</f>
        <v>ORD00472</v>
      </c>
      <c r="B230" s="4" t="str">
        <f aca="false">TRIM(UPPER(Orders_Raw!B230))</f>
        <v>CUST0055</v>
      </c>
      <c r="C230" s="4" t="str">
        <f aca="false">PROPER(TRIM(Orders_Raw!C230))</f>
        <v>Amaka Adamu</v>
      </c>
      <c r="D230" s="6" t="n">
        <f aca="false">IFERROR(DATEVALUE(Orders_Raw!D230),"")</f>
        <v>46329</v>
      </c>
      <c r="E230" s="4" t="str">
        <f aca="false">IF(D230="","No","Yes")</f>
        <v>Yes</v>
      </c>
      <c r="F230" s="4" t="n">
        <f aca="false">IFERROR(VALUE(SUBSTITUTE(SUBSTITUTE(SUBSTITUTE(Orders_Raw!G230,"$",""),"NGN",""),",","")),"")</f>
        <v>230.69</v>
      </c>
      <c r="G230" s="4" t="str">
        <f aca="false">IF(F230="","No","Yes")</f>
        <v>Yes</v>
      </c>
      <c r="H230" s="4" t="str">
        <f aca="false">Orders_Raw!F230</f>
        <v>2</v>
      </c>
      <c r="I230" s="4" t="str">
        <f aca="false">IF(H230="","No",IF(H230&lt;=0,"No","Yes"))</f>
        <v>Yes</v>
      </c>
      <c r="J230" s="4" t="str">
        <f aca="false">Orders_Raw!E230</f>
        <v>Charger</v>
      </c>
      <c r="K230" s="4" t="str">
        <f aca="false">Orders_Raw!H230</f>
        <v>2026-03-11 16:19</v>
      </c>
      <c r="L230" s="4" t="str">
        <f aca="false">IF(COUNTIF(Orders_Raw!$A$5:$A$539,A230)&gt;1,"YES","No")</f>
        <v>No</v>
      </c>
      <c r="M230" s="4" t="str">
        <f aca="false">IF(COUNTIFS($B$5:$B$539,B230,$D$5:$D$539,D230,$F$5:$F$539,F230)&gt;1,"YES","No")</f>
        <v>No</v>
      </c>
      <c r="N230" s="4" t="str">
        <f aca="false">IFERROR(INDEX(Customer_Master!$B$5:$B$64,MATCH(B230,Customer_Master!$A$5:$A$64,0)),"UNMATCHED")</f>
        <v>Amaka Adamu</v>
      </c>
      <c r="O230" s="4" t="str">
        <f aca="false">IFERROR(INDEX(Customer_Master!$C$5:$C$64,MATCH(B230,Customer_Master!$A$5:$A$64,0)),"UNMATCHED")</f>
        <v>Loyal</v>
      </c>
      <c r="P230" s="4" t="str">
        <f aca="false">IFERROR(INDEX(Customer_Master!$D$5:$D$64,MATCH(B230,Customer_Master!$A$5:$A$64,0)),"UNMATCHED")</f>
        <v>Kaduna</v>
      </c>
      <c r="Q230" s="4" t="str">
        <f aca="false">IF(N230="UNMATCHED","Unmatched","Matched")</f>
        <v>Matched</v>
      </c>
      <c r="R230" s="4" t="str">
        <f aca="false">IF(OR(E230="No",G230="No",I230="No",L230="YES",Q230="Unmatched"),"NEEDS REVIEW","OK")</f>
        <v>OK</v>
      </c>
    </row>
    <row r="231" customFormat="false" ht="15" hidden="false" customHeight="false" outlineLevel="0" collapsed="false">
      <c r="A231" s="4" t="str">
        <f aca="false">Orders_Raw!A231</f>
        <v>ORD00039</v>
      </c>
      <c r="B231" s="4" t="str">
        <f aca="false">TRIM(UPPER(Orders_Raw!B231))</f>
        <v>CUST0028</v>
      </c>
      <c r="C231" s="4" t="str">
        <f aca="false">PROPER(TRIM(Orders_Raw!C231))</f>
        <v>James Adamu</v>
      </c>
      <c r="D231" s="6" t="n">
        <f aca="false">IFERROR(DATEVALUE(Orders_Raw!D231),"")</f>
        <v>46091</v>
      </c>
      <c r="E231" s="4" t="str">
        <f aca="false">IF(D231="","No","Yes")</f>
        <v>Yes</v>
      </c>
      <c r="F231" s="4" t="n">
        <f aca="false">IFERROR(VALUE(SUBSTITUTE(SUBSTITUTE(SUBSTITUTE(Orders_Raw!G231,"$",""),"NGN",""),",","")),"")</f>
        <v>2131.51</v>
      </c>
      <c r="G231" s="4" t="str">
        <f aca="false">IF(F231="","No","Yes")</f>
        <v>Yes</v>
      </c>
      <c r="H231" s="4" t="str">
        <f aca="false">Orders_Raw!F231</f>
        <v>2</v>
      </c>
      <c r="I231" s="4" t="str">
        <f aca="false">IF(H231="","No",IF(H231&lt;=0,"No","Yes"))</f>
        <v>Yes</v>
      </c>
      <c r="J231" s="4" t="str">
        <f aca="false">Orders_Raw!E231</f>
        <v>Printer</v>
      </c>
      <c r="K231" s="4" t="str">
        <f aca="false">Orders_Raw!H231</f>
        <v>2026-03-10 17:39</v>
      </c>
      <c r="L231" s="4" t="str">
        <f aca="false">IF(COUNTIF(Orders_Raw!$A$5:$A$539,A231)&gt;1,"YES","No")</f>
        <v>No</v>
      </c>
      <c r="M231" s="4" t="str">
        <f aca="false">IF(COUNTIFS($B$5:$B$539,B231,$D$5:$D$539,D231,$F$5:$F$539,F231)&gt;1,"YES","No")</f>
        <v>No</v>
      </c>
      <c r="N231" s="4" t="str">
        <f aca="false">IFERROR(INDEX(Customer_Master!$B$5:$B$64,MATCH(B231,Customer_Master!$A$5:$A$64,0)),"UNMATCHED")</f>
        <v>James Adamu</v>
      </c>
      <c r="O231" s="4" t="str">
        <f aca="false">IFERROR(INDEX(Customer_Master!$C$5:$C$64,MATCH(B231,Customer_Master!$A$5:$A$64,0)),"UNMATCHED")</f>
        <v>New</v>
      </c>
      <c r="P231" s="4" t="str">
        <f aca="false">IFERROR(INDEX(Customer_Master!$D$5:$D$64,MATCH(B231,Customer_Master!$A$5:$A$64,0)),"UNMATCHED")</f>
        <v>Ibadan</v>
      </c>
      <c r="Q231" s="4" t="str">
        <f aca="false">IF(N231="UNMATCHED","Unmatched","Matched")</f>
        <v>Matched</v>
      </c>
      <c r="R231" s="4" t="str">
        <f aca="false">IF(OR(E231="No",G231="No",I231="No",L231="YES",Q231="Unmatched"),"NEEDS REVIEW","OK")</f>
        <v>OK</v>
      </c>
    </row>
    <row r="232" customFormat="false" ht="15" hidden="false" customHeight="false" outlineLevel="0" collapsed="false">
      <c r="A232" s="4" t="str">
        <f aca="false">Orders_Raw!A232</f>
        <v>ORD00128</v>
      </c>
      <c r="B232" s="4" t="str">
        <f aca="false">TRIM(UPPER(Orders_Raw!B232))</f>
        <v>CUST0005</v>
      </c>
      <c r="C232" s="4" t="str">
        <f aca="false">PROPER(TRIM(Orders_Raw!C232))</f>
        <v>Tunde Nnamdi</v>
      </c>
      <c r="D232" s="6" t="n">
        <f aca="false">IFERROR(DATEVALUE(Orders_Raw!D232),"")</f>
        <v>46085</v>
      </c>
      <c r="E232" s="4" t="str">
        <f aca="false">IF(D232="","No","Yes")</f>
        <v>Yes</v>
      </c>
      <c r="F232" s="4" t="n">
        <f aca="false">IFERROR(VALUE(SUBSTITUTE(SUBSTITUTE(SUBSTITUTE(Orders_Raw!G232,"$",""),"NGN",""),",","")),"")</f>
        <v>2374.43</v>
      </c>
      <c r="G232" s="4" t="str">
        <f aca="false">IF(F232="","No","Yes")</f>
        <v>Yes</v>
      </c>
      <c r="H232" s="4" t="str">
        <f aca="false">Orders_Raw!F232</f>
        <v>3</v>
      </c>
      <c r="I232" s="4" t="str">
        <f aca="false">IF(H232="","No",IF(H232&lt;=0,"No","Yes"))</f>
        <v>Yes</v>
      </c>
      <c r="J232" s="4" t="str">
        <f aca="false">Orders_Raw!E232</f>
        <v>Keyboard</v>
      </c>
      <c r="K232" s="4" t="str">
        <f aca="false">Orders_Raw!H232</f>
        <v>2026-04-03 13:28</v>
      </c>
      <c r="L232" s="4" t="str">
        <f aca="false">IF(COUNTIF(Orders_Raw!$A$5:$A$539,A232)&gt;1,"YES","No")</f>
        <v>No</v>
      </c>
      <c r="M232" s="4" t="str">
        <f aca="false">IF(COUNTIFS($B$5:$B$539,B232,$D$5:$D$539,D232,$F$5:$F$539,F232)&gt;1,"YES","No")</f>
        <v>No</v>
      </c>
      <c r="N232" s="4" t="str">
        <f aca="false">IFERROR(INDEX(Customer_Master!$B$5:$B$64,MATCH(B232,Customer_Master!$A$5:$A$64,0)),"UNMATCHED")</f>
        <v>Tunde Nnamdi</v>
      </c>
      <c r="O232" s="4" t="str">
        <f aca="false">IFERROR(INDEX(Customer_Master!$C$5:$C$64,MATCH(B232,Customer_Master!$A$5:$A$64,0)),"UNMATCHED")</f>
        <v>New</v>
      </c>
      <c r="P232" s="4" t="str">
        <f aca="false">IFERROR(INDEX(Customer_Master!$D$5:$D$64,MATCH(B232,Customer_Master!$A$5:$A$64,0)),"UNMATCHED")</f>
        <v>Lagos</v>
      </c>
      <c r="Q232" s="4" t="str">
        <f aca="false">IF(N232="UNMATCHED","Unmatched","Matched")</f>
        <v>Matched</v>
      </c>
      <c r="R232" s="4" t="str">
        <f aca="false">IF(OR(E232="No",G232="No",I232="No",L232="YES",Q232="Unmatched"),"NEEDS REVIEW","OK")</f>
        <v>OK</v>
      </c>
    </row>
    <row r="233" customFormat="false" ht="15" hidden="false" customHeight="false" outlineLevel="0" collapsed="false">
      <c r="A233" s="4" t="str">
        <f aca="false">Orders_Raw!A233</f>
        <v>ORD00452</v>
      </c>
      <c r="B233" s="4" t="str">
        <f aca="false">TRIM(UPPER(Orders_Raw!B233))</f>
        <v>CUST0048</v>
      </c>
      <c r="C233" s="4" t="str">
        <f aca="false">PROPER(TRIM(Orders_Raw!C233))</f>
        <v>Musa Chukwu</v>
      </c>
      <c r="D233" s="6" t="str">
        <f aca="false">IFERROR(DATEVALUE(Orders_Raw!D233),"")</f>
        <v/>
      </c>
      <c r="E233" s="4" t="str">
        <f aca="false">IF(D233="","No","Yes")</f>
        <v>No</v>
      </c>
      <c r="F233" s="4" t="n">
        <f aca="false">IFERROR(VALUE(SUBSTITUTE(SUBSTITUTE(SUBSTITUTE(Orders_Raw!G233,"$",""),"NGN",""),",","")),"")</f>
        <v>1308.81</v>
      </c>
      <c r="G233" s="4" t="str">
        <f aca="false">IF(F233="","No","Yes")</f>
        <v>Yes</v>
      </c>
      <c r="H233" s="4" t="str">
        <f aca="false">Orders_Raw!F233</f>
        <v>2</v>
      </c>
      <c r="I233" s="4" t="str">
        <f aca="false">IF(H233="","No",IF(H233&lt;=0,"No","Yes"))</f>
        <v>Yes</v>
      </c>
      <c r="J233" s="4" t="str">
        <f aca="false">Orders_Raw!E233</f>
        <v>Charger</v>
      </c>
      <c r="K233" s="4" t="str">
        <f aca="false">Orders_Raw!H233</f>
        <v>2026-05-15 16:34</v>
      </c>
      <c r="L233" s="4" t="str">
        <f aca="false">IF(COUNTIF(Orders_Raw!$A$5:$A$539,A233)&gt;1,"YES","No")</f>
        <v>No</v>
      </c>
      <c r="M233" s="4" t="str">
        <f aca="false">IF(COUNTIFS($B$5:$B$539,B233,$D$5:$D$539,D233,$F$5:$F$539,F233)&gt;1,"YES","No")</f>
        <v>No</v>
      </c>
      <c r="N233" s="4" t="str">
        <f aca="false">IFERROR(INDEX(Customer_Master!$B$5:$B$64,MATCH(B233,Customer_Master!$A$5:$A$64,0)),"UNMATCHED")</f>
        <v>Musa Chukwu</v>
      </c>
      <c r="O233" s="4" t="str">
        <f aca="false">IFERROR(INDEX(Customer_Master!$C$5:$C$64,MATCH(B233,Customer_Master!$A$5:$A$64,0)),"UNMATCHED")</f>
        <v>Lost / Low-Value</v>
      </c>
      <c r="P233" s="4" t="str">
        <f aca="false">IFERROR(INDEX(Customer_Master!$D$5:$D$64,MATCH(B233,Customer_Master!$A$5:$A$64,0)),"UNMATCHED")</f>
        <v>Kaduna</v>
      </c>
      <c r="Q233" s="4" t="str">
        <f aca="false">IF(N233="UNMATCHED","Unmatched","Matched")</f>
        <v>Matched</v>
      </c>
      <c r="R233" s="4" t="str">
        <f aca="false">IF(OR(E233="No",G233="No",I233="No",L233="YES",Q233="Unmatched"),"NEEDS REVIEW","OK")</f>
        <v>NEEDS REVIEW</v>
      </c>
    </row>
    <row r="234" customFormat="false" ht="15" hidden="false" customHeight="false" outlineLevel="0" collapsed="false">
      <c r="A234" s="4" t="str">
        <f aca="false">Orders_Raw!A234</f>
        <v>ORD00497</v>
      </c>
      <c r="B234" s="4" t="str">
        <f aca="false">TRIM(UPPER(Orders_Raw!B234))</f>
        <v>CUST0033</v>
      </c>
      <c r="C234" s="4" t="str">
        <f aca="false">PROPER(TRIM(Orders_Raw!C234))</f>
        <v>Musa Abubakar</v>
      </c>
      <c r="D234" s="6" t="n">
        <f aca="false">IFERROR(DATEVALUE(Orders_Raw!D234),"")</f>
        <v>46210</v>
      </c>
      <c r="E234" s="4" t="str">
        <f aca="false">IF(D234="","No","Yes")</f>
        <v>Yes</v>
      </c>
      <c r="F234" s="4" t="n">
        <f aca="false">IFERROR(VALUE(SUBSTITUTE(SUBSTITUTE(SUBSTITUTE(Orders_Raw!G234,"$",""),"NGN",""),",","")),"")</f>
        <v>1061.23</v>
      </c>
      <c r="G234" s="4" t="str">
        <f aca="false">IF(F234="","No","Yes")</f>
        <v>Yes</v>
      </c>
      <c r="H234" s="4" t="str">
        <f aca="false">Orders_Raw!F234</f>
        <v>2</v>
      </c>
      <c r="I234" s="4" t="str">
        <f aca="false">IF(H234="","No",IF(H234&lt;=0,"No","Yes"))</f>
        <v>Yes</v>
      </c>
      <c r="J234" s="4" t="str">
        <f aca="false">Orders_Raw!E234</f>
        <v>Speaker</v>
      </c>
      <c r="K234" s="4" t="str">
        <f aca="false">Orders_Raw!H234</f>
        <v>2026-07-07 12:46</v>
      </c>
      <c r="L234" s="4" t="str">
        <f aca="false">IF(COUNTIF(Orders_Raw!$A$5:$A$539,A234)&gt;1,"YES","No")</f>
        <v>No</v>
      </c>
      <c r="M234" s="4" t="str">
        <f aca="false">IF(COUNTIFS($B$5:$B$539,B234,$D$5:$D$539,D234,$F$5:$F$539,F234)&gt;1,"YES","No")</f>
        <v>No</v>
      </c>
      <c r="N234" s="4" t="str">
        <f aca="false">IFERROR(INDEX(Customer_Master!$B$5:$B$64,MATCH(B234,Customer_Master!$A$5:$A$64,0)),"UNMATCHED")</f>
        <v>Musa Abubakar</v>
      </c>
      <c r="O234" s="4" t="str">
        <f aca="false">IFERROR(INDEX(Customer_Master!$C$5:$C$64,MATCH(B234,Customer_Master!$A$5:$A$64,0)),"UNMATCHED")</f>
        <v>New</v>
      </c>
      <c r="P234" s="4" t="str">
        <f aca="false">IFERROR(INDEX(Customer_Master!$D$5:$D$64,MATCH(B234,Customer_Master!$A$5:$A$64,0)),"UNMATCHED")</f>
        <v>Kaduna</v>
      </c>
      <c r="Q234" s="4" t="str">
        <f aca="false">IF(N234="UNMATCHED","Unmatched","Matched")</f>
        <v>Matched</v>
      </c>
      <c r="R234" s="4" t="str">
        <f aca="false">IF(OR(E234="No",G234="No",I234="No",L234="YES",Q234="Unmatched"),"NEEDS REVIEW","OK")</f>
        <v>OK</v>
      </c>
    </row>
    <row r="235" customFormat="false" ht="15" hidden="false" customHeight="false" outlineLevel="0" collapsed="false">
      <c r="A235" s="4" t="str">
        <f aca="false">Orders_Raw!A235</f>
        <v>ORD00349</v>
      </c>
      <c r="B235" s="4" t="str">
        <f aca="false">TRIM(UPPER(Orders_Raw!B235))</f>
        <v>CUST0012</v>
      </c>
      <c r="C235" s="4" t="str">
        <f aca="false">PROPER(TRIM(Orders_Raw!C235))</f>
        <v>Kemi Sani</v>
      </c>
      <c r="D235" s="6" t="n">
        <f aca="false">IFERROR(DATEVALUE(Orders_Raw!D235),"")</f>
        <v>46036</v>
      </c>
      <c r="E235" s="4" t="str">
        <f aca="false">IF(D235="","No","Yes")</f>
        <v>Yes</v>
      </c>
      <c r="F235" s="4" t="n">
        <f aca="false">IFERROR(VALUE(SUBSTITUTE(SUBSTITUTE(SUBSTITUTE(Orders_Raw!G235,"$",""),"NGN",""),",","")),"")</f>
        <v>1161.24</v>
      </c>
      <c r="G235" s="4" t="str">
        <f aca="false">IF(F235="","No","Yes")</f>
        <v>Yes</v>
      </c>
      <c r="H235" s="4" t="str">
        <f aca="false">Orders_Raw!F235</f>
        <v>1</v>
      </c>
      <c r="I235" s="4" t="str">
        <f aca="false">IF(H235="","No",IF(H235&lt;=0,"No","Yes"))</f>
        <v>Yes</v>
      </c>
      <c r="J235" s="4" t="str">
        <f aca="false">Orders_Raw!E235</f>
        <v>Phone</v>
      </c>
      <c r="K235" s="4" t="str">
        <f aca="false">Orders_Raw!H235</f>
        <v>2026-01-14 11:46</v>
      </c>
      <c r="L235" s="4" t="str">
        <f aca="false">IF(COUNTIF(Orders_Raw!$A$5:$A$539,A235)&gt;1,"YES","No")</f>
        <v>No</v>
      </c>
      <c r="M235" s="4" t="str">
        <f aca="false">IF(COUNTIFS($B$5:$B$539,B235,$D$5:$D$539,D235,$F$5:$F$539,F235)&gt;1,"YES","No")</f>
        <v>No</v>
      </c>
      <c r="N235" s="4" t="str">
        <f aca="false">IFERROR(INDEX(Customer_Master!$B$5:$B$64,MATCH(B235,Customer_Master!$A$5:$A$64,0)),"UNMATCHED")</f>
        <v>Kemi Sani</v>
      </c>
      <c r="O235" s="4" t="str">
        <f aca="false">IFERROR(INDEX(Customer_Master!$C$5:$C$64,MATCH(B235,Customer_Master!$A$5:$A$64,0)),"UNMATCHED")</f>
        <v>Champions</v>
      </c>
      <c r="P235" s="4" t="str">
        <f aca="false">IFERROR(INDEX(Customer_Master!$D$5:$D$64,MATCH(B235,Customer_Master!$A$5:$A$64,0)),"UNMATCHED")</f>
        <v>Kaduna</v>
      </c>
      <c r="Q235" s="4" t="str">
        <f aca="false">IF(N235="UNMATCHED","Unmatched","Matched")</f>
        <v>Matched</v>
      </c>
      <c r="R235" s="4" t="str">
        <f aca="false">IF(OR(E235="No",G235="No",I235="No",L235="YES",Q235="Unmatched"),"NEEDS REVIEW","OK")</f>
        <v>OK</v>
      </c>
    </row>
    <row r="236" customFormat="false" ht="15" hidden="false" customHeight="false" outlineLevel="0" collapsed="false">
      <c r="A236" s="4" t="str">
        <f aca="false">Orders_Raw!A236</f>
        <v>ORD00280</v>
      </c>
      <c r="B236" s="4" t="str">
        <f aca="false">TRIM(UPPER(Orders_Raw!B236))</f>
        <v>CUST0010</v>
      </c>
      <c r="C236" s="4" t="str">
        <f aca="false">PROPER(TRIM(Orders_Raw!C236))</f>
        <v>Esther Umeh</v>
      </c>
      <c r="D236" s="6" t="n">
        <f aca="false">IFERROR(DATEVALUE(Orders_Raw!D236),"")</f>
        <v>46067</v>
      </c>
      <c r="E236" s="4" t="str">
        <f aca="false">IF(D236="","No","Yes")</f>
        <v>Yes</v>
      </c>
      <c r="F236" s="4" t="n">
        <f aca="false">IFERROR(VALUE(SUBSTITUTE(SUBSTITUTE(SUBSTITUTE(Orders_Raw!G236,"$",""),"NGN",""),",","")),"")</f>
        <v>2430.83</v>
      </c>
      <c r="G236" s="4" t="str">
        <f aca="false">IF(F236="","No","Yes")</f>
        <v>Yes</v>
      </c>
      <c r="H236" s="4" t="str">
        <f aca="false">Orders_Raw!F236</f>
        <v>1</v>
      </c>
      <c r="I236" s="4" t="str">
        <f aca="false">IF(H236="","No",IF(H236&lt;=0,"No","Yes"))</f>
        <v>Yes</v>
      </c>
      <c r="J236" s="4" t="str">
        <f aca="false">Orders_Raw!E236</f>
        <v>Monitor</v>
      </c>
      <c r="K236" s="4" t="str">
        <f aca="false">Orders_Raw!H236</f>
        <v>2026-02-14 11:52</v>
      </c>
      <c r="L236" s="4" t="str">
        <f aca="false">IF(COUNTIF(Orders_Raw!$A$5:$A$539,A236)&gt;1,"YES","No")</f>
        <v>No</v>
      </c>
      <c r="M236" s="4" t="str">
        <f aca="false">IF(COUNTIFS($B$5:$B$539,B236,$D$5:$D$539,D236,$F$5:$F$539,F236)&gt;1,"YES","No")</f>
        <v>No</v>
      </c>
      <c r="N236" s="4" t="str">
        <f aca="false">IFERROR(INDEX(Customer_Master!$B$5:$B$64,MATCH(B236,Customer_Master!$A$5:$A$64,0)),"UNMATCHED")</f>
        <v>Esther Umeh</v>
      </c>
      <c r="O236" s="4" t="str">
        <f aca="false">IFERROR(INDEX(Customer_Master!$C$5:$C$64,MATCH(B236,Customer_Master!$A$5:$A$64,0)),"UNMATCHED")</f>
        <v>Champions</v>
      </c>
      <c r="P236" s="4" t="str">
        <f aca="false">IFERROR(INDEX(Customer_Master!$D$5:$D$64,MATCH(B236,Customer_Master!$A$5:$A$64,0)),"UNMATCHED")</f>
        <v>Abuja</v>
      </c>
      <c r="Q236" s="4" t="str">
        <f aca="false">IF(N236="UNMATCHED","Unmatched","Matched")</f>
        <v>Matched</v>
      </c>
      <c r="R236" s="4" t="str">
        <f aca="false">IF(OR(E236="No",G236="No",I236="No",L236="YES",Q236="Unmatched"),"NEEDS REVIEW","OK")</f>
        <v>OK</v>
      </c>
    </row>
    <row r="237" customFormat="false" ht="15" hidden="false" customHeight="false" outlineLevel="0" collapsed="false">
      <c r="A237" s="4" t="str">
        <f aca="false">Orders_Raw!A237</f>
        <v>ORD00333</v>
      </c>
      <c r="B237" s="4" t="str">
        <f aca="false">TRIM(UPPER(Orders_Raw!B237))</f>
        <v>CUST0044</v>
      </c>
      <c r="C237" s="4" t="str">
        <f aca="false">PROPER(TRIM(Orders_Raw!C237))</f>
        <v>Emeka Yakubu</v>
      </c>
      <c r="D237" s="6" t="str">
        <f aca="false">IFERROR(DATEVALUE(Orders_Raw!D237),"")</f>
        <v/>
      </c>
      <c r="E237" s="4" t="str">
        <f aca="false">IF(D237="","No","Yes")</f>
        <v>No</v>
      </c>
      <c r="F237" s="4" t="n">
        <f aca="false">IFERROR(VALUE(SUBSTITUTE(SUBSTITUTE(SUBSTITUTE(Orders_Raw!G237,"$",""),"NGN",""),",","")),"")</f>
        <v>1863.02</v>
      </c>
      <c r="G237" s="4" t="str">
        <f aca="false">IF(F237="","No","Yes")</f>
        <v>Yes</v>
      </c>
      <c r="H237" s="4" t="str">
        <f aca="false">Orders_Raw!F237</f>
        <v>3</v>
      </c>
      <c r="I237" s="4" t="str">
        <f aca="false">IF(H237="","No",IF(H237&lt;=0,"No","Yes"))</f>
        <v>Yes</v>
      </c>
      <c r="J237" s="4" t="str">
        <f aca="false">Orders_Raw!E237</f>
        <v>Printer</v>
      </c>
      <c r="K237" s="4" t="str">
        <f aca="false">Orders_Raw!H237</f>
        <v>2026-01-14 11:58</v>
      </c>
      <c r="L237" s="4" t="str">
        <f aca="false">IF(COUNTIF(Orders_Raw!$A$5:$A$539,A237)&gt;1,"YES","No")</f>
        <v>No</v>
      </c>
      <c r="M237" s="4" t="str">
        <f aca="false">IF(COUNTIFS($B$5:$B$539,B237,$D$5:$D$539,D237,$F$5:$F$539,F237)&gt;1,"YES","No")</f>
        <v>No</v>
      </c>
      <c r="N237" s="4" t="str">
        <f aca="false">IFERROR(INDEX(Customer_Master!$B$5:$B$64,MATCH(B237,Customer_Master!$A$5:$A$64,0)),"UNMATCHED")</f>
        <v>Emeka Yakubu</v>
      </c>
      <c r="O237" s="4" t="str">
        <f aca="false">IFERROR(INDEX(Customer_Master!$C$5:$C$64,MATCH(B237,Customer_Master!$A$5:$A$64,0)),"UNMATCHED")</f>
        <v>Champions</v>
      </c>
      <c r="P237" s="4" t="str">
        <f aca="false">IFERROR(INDEX(Customer_Master!$D$5:$D$64,MATCH(B237,Customer_Master!$A$5:$A$64,0)),"UNMATCHED")</f>
        <v>Port Harcourt</v>
      </c>
      <c r="Q237" s="4" t="str">
        <f aca="false">IF(N237="UNMATCHED","Unmatched","Matched")</f>
        <v>Matched</v>
      </c>
      <c r="R237" s="4" t="str">
        <f aca="false">IF(OR(E237="No",G237="No",I237="No",L237="YES",Q237="Unmatched"),"NEEDS REVIEW","OK")</f>
        <v>NEEDS REVIEW</v>
      </c>
    </row>
    <row r="238" customFormat="false" ht="15" hidden="false" customHeight="false" outlineLevel="0" collapsed="false">
      <c r="A238" s="4" t="str">
        <f aca="false">Orders_Raw!A238</f>
        <v>ORD00266</v>
      </c>
      <c r="B238" s="4" t="str">
        <f aca="false">TRIM(UPPER(Orders_Raw!B238))</f>
        <v>CUST0024</v>
      </c>
      <c r="C238" s="4" t="str">
        <f aca="false">PROPER(TRIM(Orders_Raw!C238))</f>
        <v>Aisha Adeyemi</v>
      </c>
      <c r="D238" s="6" t="str">
        <f aca="false">IFERROR(DATEVALUE(Orders_Raw!D238),"")</f>
        <v/>
      </c>
      <c r="E238" s="4" t="str">
        <f aca="false">IF(D238="","No","Yes")</f>
        <v>No</v>
      </c>
      <c r="F238" s="4" t="n">
        <f aca="false">IFERROR(VALUE(SUBSTITUTE(SUBSTITUTE(SUBSTITUTE(Orders_Raw!G238,"$",""),"NGN",""),",","")),"")</f>
        <v>851.35</v>
      </c>
      <c r="G238" s="4" t="str">
        <f aca="false">IF(F238="","No","Yes")</f>
        <v>Yes</v>
      </c>
      <c r="H238" s="4" t="str">
        <f aca="false">Orders_Raw!F238</f>
        <v>1</v>
      </c>
      <c r="I238" s="4" t="str">
        <f aca="false">IF(H238="","No",IF(H238&lt;=0,"No","Yes"))</f>
        <v>Yes</v>
      </c>
      <c r="J238" s="4" t="str">
        <f aca="false">Orders_Raw!E238</f>
        <v>Monitor</v>
      </c>
      <c r="K238" s="4" t="str">
        <f aca="false">Orders_Raw!H238</f>
        <v>2026-05-31 18:31</v>
      </c>
      <c r="L238" s="4" t="str">
        <f aca="false">IF(COUNTIF(Orders_Raw!$A$5:$A$539,A238)&gt;1,"YES","No")</f>
        <v>No</v>
      </c>
      <c r="M238" s="4" t="str">
        <f aca="false">IF(COUNTIFS($B$5:$B$539,B238,$D$5:$D$539,D238,$F$5:$F$539,F238)&gt;1,"YES","No")</f>
        <v>No</v>
      </c>
      <c r="N238" s="4" t="str">
        <f aca="false">IFERROR(INDEX(Customer_Master!$B$5:$B$64,MATCH(B238,Customer_Master!$A$5:$A$64,0)),"UNMATCHED")</f>
        <v>Aisha Adeyemi</v>
      </c>
      <c r="O238" s="4" t="str">
        <f aca="false">IFERROR(INDEX(Customer_Master!$C$5:$C$64,MATCH(B238,Customer_Master!$A$5:$A$64,0)),"UNMATCHED")</f>
        <v>At Risk</v>
      </c>
      <c r="P238" s="4" t="str">
        <f aca="false">IFERROR(INDEX(Customer_Master!$D$5:$D$64,MATCH(B238,Customer_Master!$A$5:$A$64,0)),"UNMATCHED")</f>
        <v>Enugu</v>
      </c>
      <c r="Q238" s="4" t="str">
        <f aca="false">IF(N238="UNMATCHED","Unmatched","Matched")</f>
        <v>Matched</v>
      </c>
      <c r="R238" s="4" t="str">
        <f aca="false">IF(OR(E238="No",G238="No",I238="No",L238="YES",Q238="Unmatched"),"NEEDS REVIEW","OK")</f>
        <v>NEEDS REVIEW</v>
      </c>
    </row>
    <row r="239" customFormat="false" ht="15" hidden="false" customHeight="false" outlineLevel="0" collapsed="false">
      <c r="A239" s="4" t="str">
        <f aca="false">Orders_Raw!A239</f>
        <v>ORD00509</v>
      </c>
      <c r="B239" s="4" t="str">
        <f aca="false">TRIM(UPPER(Orders_Raw!B239))</f>
        <v>CUST0028</v>
      </c>
      <c r="C239" s="4" t="str">
        <f aca="false">PROPER(TRIM(Orders_Raw!C239))</f>
        <v>James Adamu</v>
      </c>
      <c r="D239" s="6" t="n">
        <f aca="false">IFERROR(DATEVALUE(Orders_Raw!D239),"")</f>
        <v>46088</v>
      </c>
      <c r="E239" s="4" t="str">
        <f aca="false">IF(D239="","No","Yes")</f>
        <v>Yes</v>
      </c>
      <c r="F239" s="4" t="n">
        <f aca="false">IFERROR(VALUE(SUBSTITUTE(SUBSTITUTE(SUBSTITUTE(Orders_Raw!G239,"$",""),"NGN",""),",","")),"")</f>
        <v>1955.12</v>
      </c>
      <c r="G239" s="4" t="str">
        <f aca="false">IF(F239="","No","Yes")</f>
        <v>Yes</v>
      </c>
      <c r="H239" s="4" t="str">
        <f aca="false">Orders_Raw!F239</f>
        <v>5</v>
      </c>
      <c r="I239" s="4" t="str">
        <f aca="false">IF(H239="","No",IF(H239&lt;=0,"No","Yes"))</f>
        <v>Yes</v>
      </c>
      <c r="J239" s="4" t="str">
        <f aca="false">Orders_Raw!E239</f>
        <v>Laptop</v>
      </c>
      <c r="K239" s="4" t="str">
        <f aca="false">Orders_Raw!H239</f>
        <v>2026-03-07 12:52</v>
      </c>
      <c r="L239" s="4" t="str">
        <f aca="false">IF(COUNTIF(Orders_Raw!$A$5:$A$539,A239)&gt;1,"YES","No")</f>
        <v>No</v>
      </c>
      <c r="M239" s="4" t="str">
        <f aca="false">IF(COUNTIFS($B$5:$B$539,B239,$D$5:$D$539,D239,$F$5:$F$539,F239)&gt;1,"YES","No")</f>
        <v>No</v>
      </c>
      <c r="N239" s="4" t="str">
        <f aca="false">IFERROR(INDEX(Customer_Master!$B$5:$B$64,MATCH(B239,Customer_Master!$A$5:$A$64,0)),"UNMATCHED")</f>
        <v>James Adamu</v>
      </c>
      <c r="O239" s="4" t="str">
        <f aca="false">IFERROR(INDEX(Customer_Master!$C$5:$C$64,MATCH(B239,Customer_Master!$A$5:$A$64,0)),"UNMATCHED")</f>
        <v>New</v>
      </c>
      <c r="P239" s="4" t="str">
        <f aca="false">IFERROR(INDEX(Customer_Master!$D$5:$D$64,MATCH(B239,Customer_Master!$A$5:$A$64,0)),"UNMATCHED")</f>
        <v>Ibadan</v>
      </c>
      <c r="Q239" s="4" t="str">
        <f aca="false">IF(N239="UNMATCHED","Unmatched","Matched")</f>
        <v>Matched</v>
      </c>
      <c r="R239" s="4" t="str">
        <f aca="false">IF(OR(E239="No",G239="No",I239="No",L239="YES",Q239="Unmatched"),"NEEDS REVIEW","OK")</f>
        <v>OK</v>
      </c>
    </row>
    <row r="240" customFormat="false" ht="15" hidden="false" customHeight="false" outlineLevel="0" collapsed="false">
      <c r="A240" s="4" t="str">
        <f aca="false">Orders_Raw!A240</f>
        <v>ORD00074</v>
      </c>
      <c r="B240" s="4" t="str">
        <f aca="false">TRIM(UPPER(Orders_Raw!B240))</f>
        <v>CUST0059</v>
      </c>
      <c r="C240" s="4" t="str">
        <f aca="false">PROPER(TRIM(Orders_Raw!C240))</f>
        <v>Chidi Lawal</v>
      </c>
      <c r="D240" s="6" t="n">
        <f aca="false">IFERROR(DATEVALUE(Orders_Raw!D240),"")</f>
        <v>46206</v>
      </c>
      <c r="E240" s="4" t="str">
        <f aca="false">IF(D240="","No","Yes")</f>
        <v>Yes</v>
      </c>
      <c r="F240" s="4" t="n">
        <f aca="false">IFERROR(VALUE(SUBSTITUTE(SUBSTITUTE(SUBSTITUTE(Orders_Raw!G240,"$",""),"NGN",""),",","")),"")</f>
        <v>2418.95</v>
      </c>
      <c r="G240" s="4" t="str">
        <f aca="false">IF(F240="","No","Yes")</f>
        <v>Yes</v>
      </c>
      <c r="H240" s="4" t="str">
        <f aca="false">Orders_Raw!F240</f>
        <v>4</v>
      </c>
      <c r="I240" s="4" t="str">
        <f aca="false">IF(H240="","No",IF(H240&lt;=0,"No","Yes"))</f>
        <v>Yes</v>
      </c>
      <c r="J240" s="4" t="str">
        <f aca="false">Orders_Raw!E240</f>
        <v>Printer</v>
      </c>
      <c r="K240" s="4" t="str">
        <f aca="false">Orders_Raw!H240</f>
        <v>2026-03-07 09:09</v>
      </c>
      <c r="L240" s="4" t="str">
        <f aca="false">IF(COUNTIF(Orders_Raw!$A$5:$A$539,A240)&gt;1,"YES","No")</f>
        <v>No</v>
      </c>
      <c r="M240" s="4" t="str">
        <f aca="false">IF(COUNTIFS($B$5:$B$539,B240,$D$5:$D$539,D240,$F$5:$F$539,F240)&gt;1,"YES","No")</f>
        <v>No</v>
      </c>
      <c r="N240" s="4" t="str">
        <f aca="false">IFERROR(INDEX(Customer_Master!$B$5:$B$64,MATCH(B240,Customer_Master!$A$5:$A$64,0)),"UNMATCHED")</f>
        <v>Chidi Lawal</v>
      </c>
      <c r="O240" s="4" t="str">
        <f aca="false">IFERROR(INDEX(Customer_Master!$C$5:$C$64,MATCH(B240,Customer_Master!$A$5:$A$64,0)),"UNMATCHED")</f>
        <v>Champions</v>
      </c>
      <c r="P240" s="4" t="str">
        <f aca="false">IFERROR(INDEX(Customer_Master!$D$5:$D$64,MATCH(B240,Customer_Master!$A$5:$A$64,0)),"UNMATCHED")</f>
        <v>Enugu</v>
      </c>
      <c r="Q240" s="4" t="str">
        <f aca="false">IF(N240="UNMATCHED","Unmatched","Matched")</f>
        <v>Matched</v>
      </c>
      <c r="R240" s="4" t="str">
        <f aca="false">IF(OR(E240="No",G240="No",I240="No",L240="YES",Q240="Unmatched"),"NEEDS REVIEW","OK")</f>
        <v>OK</v>
      </c>
    </row>
    <row r="241" customFormat="false" ht="15" hidden="false" customHeight="false" outlineLevel="0" collapsed="false">
      <c r="A241" s="4" t="str">
        <f aca="false">Orders_Raw!A241</f>
        <v>ORD00502</v>
      </c>
      <c r="B241" s="4" t="str">
        <f aca="false">TRIM(UPPER(Orders_Raw!B241))</f>
        <v>CUST0054</v>
      </c>
      <c r="C241" s="4" t="str">
        <f aca="false">PROPER(TRIM(Orders_Raw!C241))</f>
        <v>Samuel Ajayi</v>
      </c>
      <c r="D241" s="6" t="str">
        <f aca="false">IFERROR(DATEVALUE(Orders_Raw!D241),"")</f>
        <v/>
      </c>
      <c r="E241" s="4" t="str">
        <f aca="false">IF(D241="","No","Yes")</f>
        <v>No</v>
      </c>
      <c r="F241" s="4" t="n">
        <f aca="false">IFERROR(VALUE(SUBSTITUTE(SUBSTITUTE(SUBSTITUTE(Orders_Raw!G241,"$",""),"NGN",""),",","")),"")</f>
        <v>145.52</v>
      </c>
      <c r="G241" s="4" t="str">
        <f aca="false">IF(F241="","No","Yes")</f>
        <v>Yes</v>
      </c>
      <c r="H241" s="4" t="str">
        <f aca="false">Orders_Raw!F241</f>
        <v>2</v>
      </c>
      <c r="I241" s="4" t="str">
        <f aca="false">IF(H241="","No",IF(H241&lt;=0,"No","Yes"))</f>
        <v>Yes</v>
      </c>
      <c r="J241" s="4" t="str">
        <f aca="false">Orders_Raw!E241</f>
        <v>Tablet</v>
      </c>
      <c r="K241" s="4" t="str">
        <f aca="false">Orders_Raw!H241</f>
        <v>2026-07-13 11:24</v>
      </c>
      <c r="L241" s="4" t="str">
        <f aca="false">IF(COUNTIF(Orders_Raw!$A$5:$A$539,A241)&gt;1,"YES","No")</f>
        <v>No</v>
      </c>
      <c r="M241" s="4" t="str">
        <f aca="false">IF(COUNTIFS($B$5:$B$539,B241,$D$5:$D$539,D241,$F$5:$F$539,F241)&gt;1,"YES","No")</f>
        <v>No</v>
      </c>
      <c r="N241" s="4" t="str">
        <f aca="false">IFERROR(INDEX(Customer_Master!$B$5:$B$64,MATCH(B241,Customer_Master!$A$5:$A$64,0)),"UNMATCHED")</f>
        <v>Samuel Ajayi</v>
      </c>
      <c r="O241" s="4" t="str">
        <f aca="false">IFERROR(INDEX(Customer_Master!$C$5:$C$64,MATCH(B241,Customer_Master!$A$5:$A$64,0)),"UNMATCHED")</f>
        <v>At Risk</v>
      </c>
      <c r="P241" s="4" t="str">
        <f aca="false">IFERROR(INDEX(Customer_Master!$D$5:$D$64,MATCH(B241,Customer_Master!$A$5:$A$64,0)),"UNMATCHED")</f>
        <v>Kaduna</v>
      </c>
      <c r="Q241" s="4" t="str">
        <f aca="false">IF(N241="UNMATCHED","Unmatched","Matched")</f>
        <v>Matched</v>
      </c>
      <c r="R241" s="4" t="str">
        <f aca="false">IF(OR(E241="No",G241="No",I241="No",L241="YES",Q241="Unmatched"),"NEEDS REVIEW","OK")</f>
        <v>NEEDS REVIEW</v>
      </c>
    </row>
    <row r="242" customFormat="false" ht="15" hidden="false" customHeight="false" outlineLevel="0" collapsed="false">
      <c r="A242" s="4" t="str">
        <f aca="false">Orders_Raw!A242</f>
        <v>ORD00230</v>
      </c>
      <c r="B242" s="4" t="str">
        <f aca="false">TRIM(UPPER(Orders_Raw!B242))</f>
        <v>CUST0042</v>
      </c>
      <c r="C242" s="4" t="str">
        <f aca="false">PROPER(TRIM(Orders_Raw!C242))</f>
        <v>Bisi Chukwu</v>
      </c>
      <c r="D242" s="6" t="n">
        <f aca="false">IFERROR(DATEVALUE(Orders_Raw!D242),"")</f>
        <v>46183</v>
      </c>
      <c r="E242" s="4" t="str">
        <f aca="false">IF(D242="","No","Yes")</f>
        <v>Yes</v>
      </c>
      <c r="F242" s="4" t="n">
        <f aca="false">IFERROR(VALUE(SUBSTITUTE(SUBSTITUTE(SUBSTITUTE(Orders_Raw!G242,"$",""),"NGN",""),",","")),"")</f>
        <v>1819.08</v>
      </c>
      <c r="G242" s="4" t="str">
        <f aca="false">IF(F242="","No","Yes")</f>
        <v>Yes</v>
      </c>
      <c r="H242" s="4" t="str">
        <f aca="false">Orders_Raw!F242</f>
        <v>2</v>
      </c>
      <c r="I242" s="4" t="str">
        <f aca="false">IF(H242="","No",IF(H242&lt;=0,"No","Yes"))</f>
        <v>Yes</v>
      </c>
      <c r="J242" s="4" t="str">
        <f aca="false">Orders_Raw!E242</f>
        <v>Laptop</v>
      </c>
      <c r="K242" s="4" t="str">
        <f aca="false">Orders_Raw!H242</f>
        <v>2026-06-10 11:30</v>
      </c>
      <c r="L242" s="4" t="str">
        <f aca="false">IF(COUNTIF(Orders_Raw!$A$5:$A$539,A242)&gt;1,"YES","No")</f>
        <v>No</v>
      </c>
      <c r="M242" s="4" t="str">
        <f aca="false">IF(COUNTIFS($B$5:$B$539,B242,$D$5:$D$539,D242,$F$5:$F$539,F242)&gt;1,"YES","No")</f>
        <v>No</v>
      </c>
      <c r="N242" s="4" t="str">
        <f aca="false">IFERROR(INDEX(Customer_Master!$B$5:$B$64,MATCH(B242,Customer_Master!$A$5:$A$64,0)),"UNMATCHED")</f>
        <v>Bisi Chukwu</v>
      </c>
      <c r="O242" s="4" t="str">
        <f aca="false">IFERROR(INDEX(Customer_Master!$C$5:$C$64,MATCH(B242,Customer_Master!$A$5:$A$64,0)),"UNMATCHED")</f>
        <v>At Risk</v>
      </c>
      <c r="P242" s="4" t="str">
        <f aca="false">IFERROR(INDEX(Customer_Master!$D$5:$D$64,MATCH(B242,Customer_Master!$A$5:$A$64,0)),"UNMATCHED")</f>
        <v>Kano</v>
      </c>
      <c r="Q242" s="4" t="str">
        <f aca="false">IF(N242="UNMATCHED","Unmatched","Matched")</f>
        <v>Matched</v>
      </c>
      <c r="R242" s="4" t="str">
        <f aca="false">IF(OR(E242="No",G242="No",I242="No",L242="YES",Q242="Unmatched"),"NEEDS REVIEW","OK")</f>
        <v>OK</v>
      </c>
    </row>
    <row r="243" customFormat="false" ht="15" hidden="false" customHeight="false" outlineLevel="0" collapsed="false">
      <c r="A243" s="4" t="str">
        <f aca="false">Orders_Raw!A243</f>
        <v>ORD00101</v>
      </c>
      <c r="B243" s="4" t="str">
        <f aca="false">TRIM(UPPER(Orders_Raw!B243))</f>
        <v>CUST0047</v>
      </c>
      <c r="C243" s="4" t="str">
        <f aca="false">PROPER(TRIM(Orders_Raw!C243))</f>
        <v>Amaka Adamu</v>
      </c>
      <c r="D243" s="6" t="n">
        <f aca="false">IFERROR(DATEVALUE(Orders_Raw!D243),"")</f>
        <v>46056</v>
      </c>
      <c r="E243" s="4" t="str">
        <f aca="false">IF(D243="","No","Yes")</f>
        <v>Yes</v>
      </c>
      <c r="F243" s="4" t="n">
        <f aca="false">IFERROR(VALUE(SUBSTITUTE(SUBSTITUTE(SUBSTITUTE(Orders_Raw!G243,"$",""),"NGN",""),",","")),"")</f>
        <v>378.91</v>
      </c>
      <c r="G243" s="4" t="str">
        <f aca="false">IF(F243="","No","Yes")</f>
        <v>Yes</v>
      </c>
      <c r="H243" s="4" t="str">
        <f aca="false">Orders_Raw!F243</f>
        <v>1</v>
      </c>
      <c r="I243" s="4" t="str">
        <f aca="false">IF(H243="","No",IF(H243&lt;=0,"No","Yes"))</f>
        <v>Yes</v>
      </c>
      <c r="J243" s="4" t="str">
        <f aca="false">Orders_Raw!E243</f>
        <v>Phone</v>
      </c>
      <c r="K243" s="4" t="str">
        <f aca="false">Orders_Raw!H243</f>
        <v>2026-03-02 10:49</v>
      </c>
      <c r="L243" s="4" t="str">
        <f aca="false">IF(COUNTIF(Orders_Raw!$A$5:$A$539,A243)&gt;1,"YES","No")</f>
        <v>No</v>
      </c>
      <c r="M243" s="4" t="str">
        <f aca="false">IF(COUNTIFS($B$5:$B$539,B243,$D$5:$D$539,D243,$F$5:$F$539,F243)&gt;1,"YES","No")</f>
        <v>No</v>
      </c>
      <c r="N243" s="4" t="str">
        <f aca="false">IFERROR(INDEX(Customer_Master!$B$5:$B$64,MATCH(B243,Customer_Master!$A$5:$A$64,0)),"UNMATCHED")</f>
        <v>Amaka Adamu</v>
      </c>
      <c r="O243" s="4" t="str">
        <f aca="false">IFERROR(INDEX(Customer_Master!$C$5:$C$64,MATCH(B243,Customer_Master!$A$5:$A$64,0)),"UNMATCHED")</f>
        <v>Loyal</v>
      </c>
      <c r="P243" s="4" t="str">
        <f aca="false">IFERROR(INDEX(Customer_Master!$D$5:$D$64,MATCH(B243,Customer_Master!$A$5:$A$64,0)),"UNMATCHED")</f>
        <v>Ibadan</v>
      </c>
      <c r="Q243" s="4" t="str">
        <f aca="false">IF(N243="UNMATCHED","Unmatched","Matched")</f>
        <v>Matched</v>
      </c>
      <c r="R243" s="4" t="str">
        <f aca="false">IF(OR(E243="No",G243="No",I243="No",L243="YES",Q243="Unmatched"),"NEEDS REVIEW","OK")</f>
        <v>OK</v>
      </c>
    </row>
    <row r="244" customFormat="false" ht="15" hidden="false" customHeight="false" outlineLevel="0" collapsed="false">
      <c r="A244" s="4" t="str">
        <f aca="false">Orders_Raw!A244</f>
        <v>ORD00332</v>
      </c>
      <c r="B244" s="4" t="str">
        <f aca="false">TRIM(UPPER(Orders_Raw!B244))</f>
        <v>CUST0036</v>
      </c>
      <c r="C244" s="4" t="str">
        <f aca="false">PROPER(TRIM(Orders_Raw!C244))</f>
        <v>Esther Umeh</v>
      </c>
      <c r="D244" s="6" t="n">
        <f aca="false">IFERROR(DATEVALUE(Orders_Raw!D244),"")</f>
        <v>46122</v>
      </c>
      <c r="E244" s="4" t="str">
        <f aca="false">IF(D244="","No","Yes")</f>
        <v>Yes</v>
      </c>
      <c r="F244" s="4" t="n">
        <f aca="false">IFERROR(VALUE(SUBSTITUTE(SUBSTITUTE(SUBSTITUTE(Orders_Raw!G244,"$",""),"NGN",""),",","")),"")</f>
        <v>1284.64</v>
      </c>
      <c r="G244" s="4" t="str">
        <f aca="false">IF(F244="","No","Yes")</f>
        <v>Yes</v>
      </c>
      <c r="H244" s="4" t="str">
        <f aca="false">Orders_Raw!F244</f>
        <v>4</v>
      </c>
      <c r="I244" s="4" t="str">
        <f aca="false">IF(H244="","No",IF(H244&lt;=0,"No","Yes"))</f>
        <v>Yes</v>
      </c>
      <c r="J244" s="4" t="str">
        <f aca="false">Orders_Raw!E244</f>
        <v>Monitor</v>
      </c>
      <c r="K244" s="4" t="str">
        <f aca="false">Orders_Raw!H244</f>
        <v>2026-04-10 14:50</v>
      </c>
      <c r="L244" s="4" t="str">
        <f aca="false">IF(COUNTIF(Orders_Raw!$A$5:$A$539,A244)&gt;1,"YES","No")</f>
        <v>No</v>
      </c>
      <c r="M244" s="4" t="str">
        <f aca="false">IF(COUNTIFS($B$5:$B$539,B244,$D$5:$D$539,D244,$F$5:$F$539,F244)&gt;1,"YES","No")</f>
        <v>No</v>
      </c>
      <c r="N244" s="4" t="str">
        <f aca="false">IFERROR(INDEX(Customer_Master!$B$5:$B$64,MATCH(B244,Customer_Master!$A$5:$A$64,0)),"UNMATCHED")</f>
        <v>Esther Umeh</v>
      </c>
      <c r="O244" s="4" t="str">
        <f aca="false">IFERROR(INDEX(Customer_Master!$C$5:$C$64,MATCH(B244,Customer_Master!$A$5:$A$64,0)),"UNMATCHED")</f>
        <v>Champions</v>
      </c>
      <c r="P244" s="4" t="str">
        <f aca="false">IFERROR(INDEX(Customer_Master!$D$5:$D$64,MATCH(B244,Customer_Master!$A$5:$A$64,0)),"UNMATCHED")</f>
        <v>Ibadan</v>
      </c>
      <c r="Q244" s="4" t="str">
        <f aca="false">IF(N244="UNMATCHED","Unmatched","Matched")</f>
        <v>Matched</v>
      </c>
      <c r="R244" s="4" t="str">
        <f aca="false">IF(OR(E244="No",G244="No",I244="No",L244="YES",Q244="Unmatched"),"NEEDS REVIEW","OK")</f>
        <v>OK</v>
      </c>
    </row>
    <row r="245" customFormat="false" ht="15" hidden="false" customHeight="false" outlineLevel="0" collapsed="false">
      <c r="A245" s="4" t="str">
        <f aca="false">Orders_Raw!A245</f>
        <v>ORD00346</v>
      </c>
      <c r="B245" s="4" t="str">
        <f aca="false">TRIM(UPPER(Orders_Raw!B245))</f>
        <v>CUST0019</v>
      </c>
      <c r="C245" s="4" t="str">
        <f aca="false">PROPER(TRIM(Orders_Raw!C245))</f>
        <v>Ifeoma Chukwu</v>
      </c>
      <c r="D245" s="6" t="n">
        <f aca="false">IFERROR(DATEVALUE(Orders_Raw!D245),"")</f>
        <v>46238</v>
      </c>
      <c r="E245" s="4" t="str">
        <f aca="false">IF(D245="","No","Yes")</f>
        <v>Yes</v>
      </c>
      <c r="F245" s="4" t="n">
        <f aca="false">IFERROR(VALUE(SUBSTITUTE(SUBSTITUTE(SUBSTITUTE(Orders_Raw!G245,"$",""),"NGN",""),",","")),"")</f>
        <v>2057.97</v>
      </c>
      <c r="G245" s="4" t="str">
        <f aca="false">IF(F245="","No","Yes")</f>
        <v>Yes</v>
      </c>
      <c r="H245" s="4" t="str">
        <f aca="false">Orders_Raw!F245</f>
        <v>2</v>
      </c>
      <c r="I245" s="4" t="str">
        <f aca="false">IF(H245="","No",IF(H245&lt;=0,"No","Yes"))</f>
        <v>Yes</v>
      </c>
      <c r="J245" s="4" t="str">
        <f aca="false">Orders_Raw!E245</f>
        <v>Monitor</v>
      </c>
      <c r="K245" s="4" t="str">
        <f aca="false">Orders_Raw!H245</f>
        <v>2026-04-08 16:18</v>
      </c>
      <c r="L245" s="4" t="str">
        <f aca="false">IF(COUNTIF(Orders_Raw!$A$5:$A$539,A245)&gt;1,"YES","No")</f>
        <v>No</v>
      </c>
      <c r="M245" s="4" t="str">
        <f aca="false">IF(COUNTIFS($B$5:$B$539,B245,$D$5:$D$539,D245,$F$5:$F$539,F245)&gt;1,"YES","No")</f>
        <v>No</v>
      </c>
      <c r="N245" s="4" t="str">
        <f aca="false">IFERROR(INDEX(Customer_Master!$B$5:$B$64,MATCH(B245,Customer_Master!$A$5:$A$64,0)),"UNMATCHED")</f>
        <v>Ifeoma Chukwu</v>
      </c>
      <c r="O245" s="4" t="str">
        <f aca="false">IFERROR(INDEX(Customer_Master!$C$5:$C$64,MATCH(B245,Customer_Master!$A$5:$A$64,0)),"UNMATCHED")</f>
        <v>Loyal</v>
      </c>
      <c r="P245" s="4" t="str">
        <f aca="false">IFERROR(INDEX(Customer_Master!$D$5:$D$64,MATCH(B245,Customer_Master!$A$5:$A$64,0)),"UNMATCHED")</f>
        <v>Ibadan</v>
      </c>
      <c r="Q245" s="4" t="str">
        <f aca="false">IF(N245="UNMATCHED","Unmatched","Matched")</f>
        <v>Matched</v>
      </c>
      <c r="R245" s="4" t="str">
        <f aca="false">IF(OR(E245="No",G245="No",I245="No",L245="YES",Q245="Unmatched"),"NEEDS REVIEW","OK")</f>
        <v>OK</v>
      </c>
    </row>
    <row r="246" customFormat="false" ht="15" hidden="false" customHeight="false" outlineLevel="0" collapsed="false">
      <c r="A246" s="4" t="str">
        <f aca="false">Orders_Raw!A246</f>
        <v>ORD00398</v>
      </c>
      <c r="B246" s="4" t="str">
        <f aca="false">TRIM(UPPER(Orders_Raw!B246))</f>
        <v>CUST0026</v>
      </c>
      <c r="C246" s="4" t="str">
        <f aca="false">PROPER(TRIM(Orders_Raw!C246))</f>
        <v>Amaka Yakubu</v>
      </c>
      <c r="D246" s="6" t="n">
        <f aca="false">IFERROR(DATEVALUE(Orders_Raw!D246),"")</f>
        <v>46049</v>
      </c>
      <c r="E246" s="4" t="str">
        <f aca="false">IF(D246="","No","Yes")</f>
        <v>Yes</v>
      </c>
      <c r="F246" s="4" t="n">
        <f aca="false">IFERROR(VALUE(SUBSTITUTE(SUBSTITUTE(SUBSTITUTE(Orders_Raw!G246,"$",""),"NGN",""),",","")),"")</f>
        <v>1550.98</v>
      </c>
      <c r="G246" s="4" t="str">
        <f aca="false">IF(F246="","No","Yes")</f>
        <v>Yes</v>
      </c>
      <c r="H246" s="4" t="str">
        <f aca="false">Orders_Raw!F246</f>
        <v>4</v>
      </c>
      <c r="I246" s="4" t="str">
        <f aca="false">IF(H246="","No",IF(H246&lt;=0,"No","Yes"))</f>
        <v>Yes</v>
      </c>
      <c r="J246" s="4" t="str">
        <f aca="false">Orders_Raw!E246</f>
        <v>Charger</v>
      </c>
      <c r="K246" s="4" t="str">
        <f aca="false">Orders_Raw!H246</f>
        <v>2026-01-27 11:47</v>
      </c>
      <c r="L246" s="4" t="str">
        <f aca="false">IF(COUNTIF(Orders_Raw!$A$5:$A$539,A246)&gt;1,"YES","No")</f>
        <v>No</v>
      </c>
      <c r="M246" s="4" t="str">
        <f aca="false">IF(COUNTIFS($B$5:$B$539,B246,$D$5:$D$539,D246,$F$5:$F$539,F246)&gt;1,"YES","No")</f>
        <v>No</v>
      </c>
      <c r="N246" s="4" t="str">
        <f aca="false">IFERROR(INDEX(Customer_Master!$B$5:$B$64,MATCH(B246,Customer_Master!$A$5:$A$64,0)),"UNMATCHED")</f>
        <v>Amaka Yakubu</v>
      </c>
      <c r="O246" s="4" t="str">
        <f aca="false">IFERROR(INDEX(Customer_Master!$C$5:$C$64,MATCH(B246,Customer_Master!$A$5:$A$64,0)),"UNMATCHED")</f>
        <v>Lost / Low-Value</v>
      </c>
      <c r="P246" s="4" t="str">
        <f aca="false">IFERROR(INDEX(Customer_Master!$D$5:$D$64,MATCH(B246,Customer_Master!$A$5:$A$64,0)),"UNMATCHED")</f>
        <v>Kaduna</v>
      </c>
      <c r="Q246" s="4" t="str">
        <f aca="false">IF(N246="UNMATCHED","Unmatched","Matched")</f>
        <v>Matched</v>
      </c>
      <c r="R246" s="4" t="str">
        <f aca="false">IF(OR(E246="No",G246="No",I246="No",L246="YES",Q246="Unmatched"),"NEEDS REVIEW","OK")</f>
        <v>OK</v>
      </c>
    </row>
    <row r="247" customFormat="false" ht="15" hidden="false" customHeight="false" outlineLevel="0" collapsed="false">
      <c r="A247" s="4" t="str">
        <f aca="false">Orders_Raw!A247</f>
        <v>ORD00247</v>
      </c>
      <c r="B247" s="4" t="str">
        <f aca="false">TRIM(UPPER(Orders_Raw!B247))</f>
        <v>CUST0024</v>
      </c>
      <c r="C247" s="4" t="str">
        <f aca="false">PROPER(TRIM(Orders_Raw!C247))</f>
        <v>Aisha Adeyemi</v>
      </c>
      <c r="D247" s="6" t="n">
        <f aca="false">IFERROR(DATEVALUE(Orders_Raw!D247),"")</f>
        <v>46223</v>
      </c>
      <c r="E247" s="4" t="str">
        <f aca="false">IF(D247="","No","Yes")</f>
        <v>Yes</v>
      </c>
      <c r="F247" s="4" t="n">
        <f aca="false">IFERROR(VALUE(SUBSTITUTE(SUBSTITUTE(SUBSTITUTE(Orders_Raw!G247,"$",""),"NGN",""),",","")),"")</f>
        <v>1852.85</v>
      </c>
      <c r="G247" s="4" t="str">
        <f aca="false">IF(F247="","No","Yes")</f>
        <v>Yes</v>
      </c>
      <c r="H247" s="4" t="str">
        <f aca="false">Orders_Raw!F247</f>
        <v>2</v>
      </c>
      <c r="I247" s="4" t="str">
        <f aca="false">IF(H247="","No",IF(H247&lt;=0,"No","Yes"))</f>
        <v>Yes</v>
      </c>
      <c r="J247" s="4" t="str">
        <f aca="false">Orders_Raw!E247</f>
        <v>Charger</v>
      </c>
      <c r="K247" s="4" t="str">
        <f aca="false">Orders_Raw!H247</f>
        <v>2026-07-20 16:48</v>
      </c>
      <c r="L247" s="4" t="str">
        <f aca="false">IF(COUNTIF(Orders_Raw!$A$5:$A$539,A247)&gt;1,"YES","No")</f>
        <v>No</v>
      </c>
      <c r="M247" s="4" t="str">
        <f aca="false">IF(COUNTIFS($B$5:$B$539,B247,$D$5:$D$539,D247,$F$5:$F$539,F247)&gt;1,"YES","No")</f>
        <v>No</v>
      </c>
      <c r="N247" s="4" t="str">
        <f aca="false">IFERROR(INDEX(Customer_Master!$B$5:$B$64,MATCH(B247,Customer_Master!$A$5:$A$64,0)),"UNMATCHED")</f>
        <v>Aisha Adeyemi</v>
      </c>
      <c r="O247" s="4" t="str">
        <f aca="false">IFERROR(INDEX(Customer_Master!$C$5:$C$64,MATCH(B247,Customer_Master!$A$5:$A$64,0)),"UNMATCHED")</f>
        <v>At Risk</v>
      </c>
      <c r="P247" s="4" t="str">
        <f aca="false">IFERROR(INDEX(Customer_Master!$D$5:$D$64,MATCH(B247,Customer_Master!$A$5:$A$64,0)),"UNMATCHED")</f>
        <v>Enugu</v>
      </c>
      <c r="Q247" s="4" t="str">
        <f aca="false">IF(N247="UNMATCHED","Unmatched","Matched")</f>
        <v>Matched</v>
      </c>
      <c r="R247" s="4" t="str">
        <f aca="false">IF(OR(E247="No",G247="No",I247="No",L247="YES",Q247="Unmatched"),"NEEDS REVIEW","OK")</f>
        <v>OK</v>
      </c>
    </row>
    <row r="248" customFormat="false" ht="15" hidden="false" customHeight="false" outlineLevel="0" collapsed="false">
      <c r="A248" s="4" t="str">
        <f aca="false">Orders_Raw!A248</f>
        <v>ORD00229</v>
      </c>
      <c r="B248" s="4" t="str">
        <f aca="false">TRIM(UPPER(Orders_Raw!B248))</f>
        <v>CUST0028</v>
      </c>
      <c r="C248" s="4" t="str">
        <f aca="false">PROPER(TRIM(Orders_Raw!C248))</f>
        <v>James Adamu</v>
      </c>
      <c r="D248" s="6" t="n">
        <f aca="false">IFERROR(DATEVALUE(Orders_Raw!D248),"")</f>
        <v>46189</v>
      </c>
      <c r="E248" s="4" t="str">
        <f aca="false">IF(D248="","No","Yes")</f>
        <v>Yes</v>
      </c>
      <c r="F248" s="4" t="n">
        <f aca="false">IFERROR(VALUE(SUBSTITUTE(SUBSTITUTE(SUBSTITUTE(Orders_Raw!G248,"$",""),"NGN",""),",","")),"")</f>
        <v>410.06</v>
      </c>
      <c r="G248" s="4" t="str">
        <f aca="false">IF(F248="","No","Yes")</f>
        <v>Yes</v>
      </c>
      <c r="H248" s="4" t="str">
        <f aca="false">Orders_Raw!F248</f>
        <v>1</v>
      </c>
      <c r="I248" s="4" t="str">
        <f aca="false">IF(H248="","No",IF(H248&lt;=0,"No","Yes"))</f>
        <v>Yes</v>
      </c>
      <c r="J248" s="4" t="str">
        <f aca="false">Orders_Raw!E248</f>
        <v>Keyboard</v>
      </c>
      <c r="K248" s="4" t="str">
        <f aca="false">Orders_Raw!H248</f>
        <v>2026-06-16 18:57</v>
      </c>
      <c r="L248" s="4" t="str">
        <f aca="false">IF(COUNTIF(Orders_Raw!$A$5:$A$539,A248)&gt;1,"YES","No")</f>
        <v>No</v>
      </c>
      <c r="M248" s="4" t="str">
        <f aca="false">IF(COUNTIFS($B$5:$B$539,B248,$D$5:$D$539,D248,$F$5:$F$539,F248)&gt;1,"YES","No")</f>
        <v>No</v>
      </c>
      <c r="N248" s="4" t="str">
        <f aca="false">IFERROR(INDEX(Customer_Master!$B$5:$B$64,MATCH(B248,Customer_Master!$A$5:$A$64,0)),"UNMATCHED")</f>
        <v>James Adamu</v>
      </c>
      <c r="O248" s="4" t="str">
        <f aca="false">IFERROR(INDEX(Customer_Master!$C$5:$C$64,MATCH(B248,Customer_Master!$A$5:$A$64,0)),"UNMATCHED")</f>
        <v>New</v>
      </c>
      <c r="P248" s="4" t="str">
        <f aca="false">IFERROR(INDEX(Customer_Master!$D$5:$D$64,MATCH(B248,Customer_Master!$A$5:$A$64,0)),"UNMATCHED")</f>
        <v>Ibadan</v>
      </c>
      <c r="Q248" s="4" t="str">
        <f aca="false">IF(N248="UNMATCHED","Unmatched","Matched")</f>
        <v>Matched</v>
      </c>
      <c r="R248" s="4" t="str">
        <f aca="false">IF(OR(E248="No",G248="No",I248="No",L248="YES",Q248="Unmatched"),"NEEDS REVIEW","OK")</f>
        <v>OK</v>
      </c>
    </row>
    <row r="249" customFormat="false" ht="15" hidden="false" customHeight="false" outlineLevel="0" collapsed="false">
      <c r="A249" s="4" t="str">
        <f aca="false">Orders_Raw!A249</f>
        <v>ORD00489</v>
      </c>
      <c r="B249" s="4" t="str">
        <f aca="false">TRIM(UPPER(Orders_Raw!B249))</f>
        <v>CUST0036</v>
      </c>
      <c r="C249" s="4" t="str">
        <f aca="false">PROPER(TRIM(Orders_Raw!C249))</f>
        <v>Esther Umeh</v>
      </c>
      <c r="D249" s="6" t="n">
        <f aca="false">IFERROR(DATEVALUE(Orders_Raw!D249),"")</f>
        <v>46203</v>
      </c>
      <c r="E249" s="4" t="str">
        <f aca="false">IF(D249="","No","Yes")</f>
        <v>Yes</v>
      </c>
      <c r="F249" s="4" t="n">
        <f aca="false">IFERROR(VALUE(SUBSTITUTE(SUBSTITUTE(SUBSTITUTE(Orders_Raw!G249,"$",""),"NGN",""),",","")),"")</f>
        <v>2054.57</v>
      </c>
      <c r="G249" s="4" t="str">
        <f aca="false">IF(F249="","No","Yes")</f>
        <v>Yes</v>
      </c>
      <c r="H249" s="4" t="str">
        <f aca="false">Orders_Raw!F249</f>
        <v>1</v>
      </c>
      <c r="I249" s="4" t="str">
        <f aca="false">IF(H249="","No",IF(H249&lt;=0,"No","Yes"))</f>
        <v>Yes</v>
      </c>
      <c r="J249" s="4" t="str">
        <f aca="false">Orders_Raw!E249</f>
        <v>Charger</v>
      </c>
      <c r="K249" s="4" t="str">
        <f aca="false">Orders_Raw!H249</f>
        <v>2026-06-30 14:44</v>
      </c>
      <c r="L249" s="4" t="str">
        <f aca="false">IF(COUNTIF(Orders_Raw!$A$5:$A$539,A249)&gt;1,"YES","No")</f>
        <v>No</v>
      </c>
      <c r="M249" s="4" t="str">
        <f aca="false">IF(COUNTIFS($B$5:$B$539,B249,$D$5:$D$539,D249,$F$5:$F$539,F249)&gt;1,"YES","No")</f>
        <v>No</v>
      </c>
      <c r="N249" s="4" t="str">
        <f aca="false">IFERROR(INDEX(Customer_Master!$B$5:$B$64,MATCH(B249,Customer_Master!$A$5:$A$64,0)),"UNMATCHED")</f>
        <v>Esther Umeh</v>
      </c>
      <c r="O249" s="4" t="str">
        <f aca="false">IFERROR(INDEX(Customer_Master!$C$5:$C$64,MATCH(B249,Customer_Master!$A$5:$A$64,0)),"UNMATCHED")</f>
        <v>Champions</v>
      </c>
      <c r="P249" s="4" t="str">
        <f aca="false">IFERROR(INDEX(Customer_Master!$D$5:$D$64,MATCH(B249,Customer_Master!$A$5:$A$64,0)),"UNMATCHED")</f>
        <v>Ibadan</v>
      </c>
      <c r="Q249" s="4" t="str">
        <f aca="false">IF(N249="UNMATCHED","Unmatched","Matched")</f>
        <v>Matched</v>
      </c>
      <c r="R249" s="4" t="str">
        <f aca="false">IF(OR(E249="No",G249="No",I249="No",L249="YES",Q249="Unmatched"),"NEEDS REVIEW","OK")</f>
        <v>OK</v>
      </c>
    </row>
    <row r="250" customFormat="false" ht="15" hidden="false" customHeight="false" outlineLevel="0" collapsed="false">
      <c r="A250" s="4" t="str">
        <f aca="false">Orders_Raw!A250</f>
        <v>ORD00470</v>
      </c>
      <c r="B250" s="4" t="str">
        <f aca="false">TRIM(UPPER(Orders_Raw!B250))</f>
        <v>CUST0051</v>
      </c>
      <c r="C250" s="4" t="str">
        <f aca="false">PROPER(TRIM(Orders_Raw!C250))</f>
        <v>Ahmed Ajayi</v>
      </c>
      <c r="D250" s="6" t="n">
        <f aca="false">IFERROR(DATEVALUE(Orders_Raw!D250),"")</f>
        <v>46156</v>
      </c>
      <c r="E250" s="4" t="str">
        <f aca="false">IF(D250="","No","Yes")</f>
        <v>Yes</v>
      </c>
      <c r="F250" s="4" t="n">
        <f aca="false">IFERROR(VALUE(SUBSTITUTE(SUBSTITUTE(SUBSTITUTE(Orders_Raw!G250,"$",""),"NGN",""),",","")),"")</f>
        <v>1418.88</v>
      </c>
      <c r="G250" s="4" t="str">
        <f aca="false">IF(F250="","No","Yes")</f>
        <v>Yes</v>
      </c>
      <c r="H250" s="4" t="str">
        <f aca="false">Orders_Raw!F250</f>
        <v>3</v>
      </c>
      <c r="I250" s="4" t="str">
        <f aca="false">IF(H250="","No",IF(H250&lt;=0,"No","Yes"))</f>
        <v>Yes</v>
      </c>
      <c r="J250" s="4" t="str">
        <f aca="false">Orders_Raw!E250</f>
        <v>Keyboard</v>
      </c>
      <c r="K250" s="4" t="str">
        <f aca="false">Orders_Raw!H250</f>
        <v>2026-05-14 13:04</v>
      </c>
      <c r="L250" s="4" t="str">
        <f aca="false">IF(COUNTIF(Orders_Raw!$A$5:$A$539,A250)&gt;1,"YES","No")</f>
        <v>No</v>
      </c>
      <c r="M250" s="4" t="str">
        <f aca="false">IF(COUNTIFS($B$5:$B$539,B250,$D$5:$D$539,D250,$F$5:$F$539,F250)&gt;1,"YES","No")</f>
        <v>No</v>
      </c>
      <c r="N250" s="4" t="str">
        <f aca="false">IFERROR(INDEX(Customer_Master!$B$5:$B$64,MATCH(B250,Customer_Master!$A$5:$A$64,0)),"UNMATCHED")</f>
        <v>Ahmed Ajayi</v>
      </c>
      <c r="O250" s="4" t="str">
        <f aca="false">IFERROR(INDEX(Customer_Master!$C$5:$C$64,MATCH(B250,Customer_Master!$A$5:$A$64,0)),"UNMATCHED")</f>
        <v>Champions</v>
      </c>
      <c r="P250" s="4" t="str">
        <f aca="false">IFERROR(INDEX(Customer_Master!$D$5:$D$64,MATCH(B250,Customer_Master!$A$5:$A$64,0)),"UNMATCHED")</f>
        <v>Abuja</v>
      </c>
      <c r="Q250" s="4" t="str">
        <f aca="false">IF(N250="UNMATCHED","Unmatched","Matched")</f>
        <v>Matched</v>
      </c>
      <c r="R250" s="4" t="str">
        <f aca="false">IF(OR(E250="No",G250="No",I250="No",L250="YES",Q250="Unmatched"),"NEEDS REVIEW","OK")</f>
        <v>OK</v>
      </c>
    </row>
    <row r="251" customFormat="false" ht="15" hidden="false" customHeight="false" outlineLevel="0" collapsed="false">
      <c r="A251" s="4" t="str">
        <f aca="false">Orders_Raw!A251</f>
        <v>ORD00227</v>
      </c>
      <c r="B251" s="4" t="str">
        <f aca="false">TRIM(UPPER(Orders_Raw!B251))</f>
        <v>CUST0045</v>
      </c>
      <c r="C251" s="4" t="str">
        <f aca="false">PROPER(TRIM(Orders_Raw!C251))</f>
        <v>Yusuf Yakubu</v>
      </c>
      <c r="D251" s="6" t="str">
        <f aca="false">IFERROR(DATEVALUE(Orders_Raw!D251),"")</f>
        <v/>
      </c>
      <c r="E251" s="4" t="str">
        <f aca="false">IF(D251="","No","Yes")</f>
        <v>No</v>
      </c>
      <c r="F251" s="4" t="n">
        <f aca="false">IFERROR(VALUE(SUBSTITUTE(SUBSTITUTE(SUBSTITUTE(Orders_Raw!G251,"$",""),"NGN",""),",","")),"")</f>
        <v>556.31</v>
      </c>
      <c r="G251" s="4" t="str">
        <f aca="false">IF(F251="","No","Yes")</f>
        <v>Yes</v>
      </c>
      <c r="H251" s="4" t="str">
        <f aca="false">Orders_Raw!F251</f>
        <v>5</v>
      </c>
      <c r="I251" s="4" t="str">
        <f aca="false">IF(H251="","No",IF(H251&lt;=0,"No","Yes"))</f>
        <v>Yes</v>
      </c>
      <c r="J251" s="4" t="str">
        <f aca="false">Orders_Raw!E251</f>
        <v>Mouse</v>
      </c>
      <c r="K251" s="4" t="str">
        <f aca="false">Orders_Raw!H251</f>
        <v>2026-05-17 13:35</v>
      </c>
      <c r="L251" s="4" t="str">
        <f aca="false">IF(COUNTIF(Orders_Raw!$A$5:$A$539,A251)&gt;1,"YES","No")</f>
        <v>No</v>
      </c>
      <c r="M251" s="4" t="str">
        <f aca="false">IF(COUNTIFS($B$5:$B$539,B251,$D$5:$D$539,D251,$F$5:$F$539,F251)&gt;1,"YES","No")</f>
        <v>No</v>
      </c>
      <c r="N251" s="4" t="str">
        <f aca="false">IFERROR(INDEX(Customer_Master!$B$5:$B$64,MATCH(B251,Customer_Master!$A$5:$A$64,0)),"UNMATCHED")</f>
        <v>Yusuf Yakubu</v>
      </c>
      <c r="O251" s="4" t="str">
        <f aca="false">IFERROR(INDEX(Customer_Master!$C$5:$C$64,MATCH(B251,Customer_Master!$A$5:$A$64,0)),"UNMATCHED")</f>
        <v>New</v>
      </c>
      <c r="P251" s="4" t="str">
        <f aca="false">IFERROR(INDEX(Customer_Master!$D$5:$D$64,MATCH(B251,Customer_Master!$A$5:$A$64,0)),"UNMATCHED")</f>
        <v>Port Harcourt</v>
      </c>
      <c r="Q251" s="4" t="str">
        <f aca="false">IF(N251="UNMATCHED","Unmatched","Matched")</f>
        <v>Matched</v>
      </c>
      <c r="R251" s="4" t="str">
        <f aca="false">IF(OR(E251="No",G251="No",I251="No",L251="YES",Q251="Unmatched"),"NEEDS REVIEW","OK")</f>
        <v>NEEDS REVIEW</v>
      </c>
    </row>
    <row r="252" customFormat="false" ht="15" hidden="false" customHeight="false" outlineLevel="0" collapsed="false">
      <c r="A252" s="4" t="str">
        <f aca="false">Orders_Raw!A252</f>
        <v>ORD00269</v>
      </c>
      <c r="B252" s="4" t="str">
        <f aca="false">TRIM(UPPER(Orders_Raw!B252))</f>
        <v>CUST0007</v>
      </c>
      <c r="C252" s="4" t="str">
        <f aca="false">PROPER(TRIM(Orders_Raw!C252))</f>
        <v>Tunde Okonkwo</v>
      </c>
      <c r="D252" s="6" t="str">
        <f aca="false">IFERROR(DATEVALUE(Orders_Raw!D252),"")</f>
        <v/>
      </c>
      <c r="E252" s="4" t="str">
        <f aca="false">IF(D252="","No","Yes")</f>
        <v>No</v>
      </c>
      <c r="F252" s="4" t="n">
        <f aca="false">IFERROR(VALUE(SUBSTITUTE(SUBSTITUTE(SUBSTITUTE(Orders_Raw!G252,"$",""),"NGN",""),",","")),"")</f>
        <v>606.42</v>
      </c>
      <c r="G252" s="4" t="str">
        <f aca="false">IF(F252="","No","Yes")</f>
        <v>Yes</v>
      </c>
      <c r="H252" s="4" t="str">
        <f aca="false">Orders_Raw!F252</f>
        <v>1</v>
      </c>
      <c r="I252" s="4" t="str">
        <f aca="false">IF(H252="","No",IF(H252&lt;=0,"No","Yes"))</f>
        <v>Yes</v>
      </c>
      <c r="J252" s="4" t="str">
        <f aca="false">Orders_Raw!E252</f>
        <v>Keyboard</v>
      </c>
      <c r="K252" s="4" t="str">
        <f aca="false">Orders_Raw!H252</f>
        <v>2026-03-26 15:00</v>
      </c>
      <c r="L252" s="4" t="str">
        <f aca="false">IF(COUNTIF(Orders_Raw!$A$5:$A$539,A252)&gt;1,"YES","No")</f>
        <v>No</v>
      </c>
      <c r="M252" s="4" t="str">
        <f aca="false">IF(COUNTIFS($B$5:$B$539,B252,$D$5:$D$539,D252,$F$5:$F$539,F252)&gt;1,"YES","No")</f>
        <v>No</v>
      </c>
      <c r="N252" s="4" t="str">
        <f aca="false">IFERROR(INDEX(Customer_Master!$B$5:$B$64,MATCH(B252,Customer_Master!$A$5:$A$64,0)),"UNMATCHED")</f>
        <v>Tunde Okonkwo</v>
      </c>
      <c r="O252" s="4" t="str">
        <f aca="false">IFERROR(INDEX(Customer_Master!$C$5:$C$64,MATCH(B252,Customer_Master!$A$5:$A$64,0)),"UNMATCHED")</f>
        <v>New</v>
      </c>
      <c r="P252" s="4" t="str">
        <f aca="false">IFERROR(INDEX(Customer_Master!$D$5:$D$64,MATCH(B252,Customer_Master!$A$5:$A$64,0)),"UNMATCHED")</f>
        <v>Ibadan</v>
      </c>
      <c r="Q252" s="4" t="str">
        <f aca="false">IF(N252="UNMATCHED","Unmatched","Matched")</f>
        <v>Matched</v>
      </c>
      <c r="R252" s="4" t="str">
        <f aca="false">IF(OR(E252="No",G252="No",I252="No",L252="YES",Q252="Unmatched"),"NEEDS REVIEW","OK")</f>
        <v>NEEDS REVIEW</v>
      </c>
    </row>
    <row r="253" customFormat="false" ht="15" hidden="false" customHeight="false" outlineLevel="0" collapsed="false">
      <c r="A253" s="4" t="str">
        <f aca="false">Orders_Raw!A253</f>
        <v>ORD00312</v>
      </c>
      <c r="B253" s="4" t="str">
        <f aca="false">TRIM(UPPER(Orders_Raw!B253))</f>
        <v>CUSTO008</v>
      </c>
      <c r="C253" s="4" t="str">
        <f aca="false">PROPER(TRIM(Orders_Raw!C253))</f>
        <v>Victor Duru</v>
      </c>
      <c r="D253" s="6" t="n">
        <f aca="false">IFERROR(DATEVALUE(Orders_Raw!D253),"")</f>
        <v>46058</v>
      </c>
      <c r="E253" s="4" t="str">
        <f aca="false">IF(D253="","No","Yes")</f>
        <v>Yes</v>
      </c>
      <c r="F253" s="4" t="n">
        <f aca="false">IFERROR(VALUE(SUBSTITUTE(SUBSTITUTE(SUBSTITUTE(Orders_Raw!G253,"$",""),"NGN",""),",","")),"")</f>
        <v>831.72</v>
      </c>
      <c r="G253" s="4" t="str">
        <f aca="false">IF(F253="","No","Yes")</f>
        <v>Yes</v>
      </c>
      <c r="H253" s="4" t="str">
        <f aca="false">Orders_Raw!F253</f>
        <v>3</v>
      </c>
      <c r="I253" s="4" t="str">
        <f aca="false">IF(H253="","No",IF(H253&lt;=0,"No","Yes"))</f>
        <v>Yes</v>
      </c>
      <c r="J253" s="4" t="str">
        <f aca="false">Orders_Raw!E253</f>
        <v>Keyboard</v>
      </c>
      <c r="K253" s="4" t="str">
        <f aca="false">Orders_Raw!H253</f>
        <v>2026-02-05 13:11</v>
      </c>
      <c r="L253" s="4" t="str">
        <f aca="false">IF(COUNTIF(Orders_Raw!$A$5:$A$539,A253)&gt;1,"YES","No")</f>
        <v>No</v>
      </c>
      <c r="M253" s="4" t="str">
        <f aca="false">IF(COUNTIFS($B$5:$B$539,B253,$D$5:$D$539,D253,$F$5:$F$539,F253)&gt;1,"YES","No")</f>
        <v>No</v>
      </c>
      <c r="N253" s="4" t="str">
        <f aca="false">IFERROR(INDEX(Customer_Master!$B$5:$B$64,MATCH(B253,Customer_Master!$A$5:$A$64,0)),"UNMATCHED")</f>
        <v>UNMATCHED</v>
      </c>
      <c r="O253" s="4" t="str">
        <f aca="false">IFERROR(INDEX(Customer_Master!$C$5:$C$64,MATCH(B253,Customer_Master!$A$5:$A$64,0)),"UNMATCHED")</f>
        <v>UNMATCHED</v>
      </c>
      <c r="P253" s="4" t="str">
        <f aca="false">IFERROR(INDEX(Customer_Master!$D$5:$D$64,MATCH(B253,Customer_Master!$A$5:$A$64,0)),"UNMATCHED")</f>
        <v>UNMATCHED</v>
      </c>
      <c r="Q253" s="4" t="str">
        <f aca="false">IF(N253="UNMATCHED","Unmatched","Matched")</f>
        <v>Unmatched</v>
      </c>
      <c r="R253" s="4" t="str">
        <f aca="false">IF(OR(E253="No",G253="No",I253="No",L253="YES",Q253="Unmatched"),"NEEDS REVIEW","OK")</f>
        <v>NEEDS REVIEW</v>
      </c>
    </row>
    <row r="254" customFormat="false" ht="15" hidden="false" customHeight="false" outlineLevel="0" collapsed="false">
      <c r="A254" s="4" t="str">
        <f aca="false">Orders_Raw!A254</f>
        <v>ORD00178</v>
      </c>
      <c r="B254" s="4" t="str">
        <f aca="false">TRIM(UPPER(Orders_Raw!B254))</f>
        <v>CUST0045</v>
      </c>
      <c r="C254" s="4" t="str">
        <f aca="false">PROPER(TRIM(Orders_Raw!C254))</f>
        <v>Yusuf Yakubu</v>
      </c>
      <c r="D254" s="6" t="str">
        <f aca="false">IFERROR(DATEVALUE(Orders_Raw!D254),"")</f>
        <v/>
      </c>
      <c r="E254" s="4" t="str">
        <f aca="false">IF(D254="","No","Yes")</f>
        <v>No</v>
      </c>
      <c r="F254" s="4" t="n">
        <f aca="false">IFERROR(VALUE(SUBSTITUTE(SUBSTITUTE(SUBSTITUTE(Orders_Raw!G254,"$",""),"NGN",""),",","")),"")</f>
        <v>471.94</v>
      </c>
      <c r="G254" s="4" t="str">
        <f aca="false">IF(F254="","No","Yes")</f>
        <v>Yes</v>
      </c>
      <c r="H254" s="4" t="str">
        <f aca="false">Orders_Raw!F254</f>
        <v>2</v>
      </c>
      <c r="I254" s="4" t="str">
        <f aca="false">IF(H254="","No",IF(H254&lt;=0,"No","Yes"))</f>
        <v>Yes</v>
      </c>
      <c r="J254" s="4" t="str">
        <f aca="false">Orders_Raw!E254</f>
        <v>Headphones</v>
      </c>
      <c r="K254" s="4" t="str">
        <f aca="false">Orders_Raw!H254</f>
        <v>2026-03-18 15:58</v>
      </c>
      <c r="L254" s="4" t="str">
        <f aca="false">IF(COUNTIF(Orders_Raw!$A$5:$A$539,A254)&gt;1,"YES","No")</f>
        <v>YES</v>
      </c>
      <c r="M254" s="4" t="str">
        <f aca="false">IF(COUNTIFS($B$5:$B$539,B254,$D$5:$D$539,D254,$F$5:$F$539,F254)&gt;1,"YES","No")</f>
        <v>YES</v>
      </c>
      <c r="N254" s="4" t="str">
        <f aca="false">IFERROR(INDEX(Customer_Master!$B$5:$B$64,MATCH(B254,Customer_Master!$A$5:$A$64,0)),"UNMATCHED")</f>
        <v>Yusuf Yakubu</v>
      </c>
      <c r="O254" s="4" t="str">
        <f aca="false">IFERROR(INDEX(Customer_Master!$C$5:$C$64,MATCH(B254,Customer_Master!$A$5:$A$64,0)),"UNMATCHED")</f>
        <v>New</v>
      </c>
      <c r="P254" s="4" t="str">
        <f aca="false">IFERROR(INDEX(Customer_Master!$D$5:$D$64,MATCH(B254,Customer_Master!$A$5:$A$64,0)),"UNMATCHED")</f>
        <v>Port Harcourt</v>
      </c>
      <c r="Q254" s="4" t="str">
        <f aca="false">IF(N254="UNMATCHED","Unmatched","Matched")</f>
        <v>Matched</v>
      </c>
      <c r="R254" s="4" t="str">
        <f aca="false">IF(OR(E254="No",G254="No",I254="No",L254="YES",Q254="Unmatched"),"NEEDS REVIEW","OK")</f>
        <v>NEEDS REVIEW</v>
      </c>
    </row>
    <row r="255" customFormat="false" ht="15" hidden="false" customHeight="false" outlineLevel="0" collapsed="false">
      <c r="A255" s="4" t="str">
        <f aca="false">Orders_Raw!A255</f>
        <v>ORD00362</v>
      </c>
      <c r="B255" s="4" t="str">
        <f aca="false">TRIM(UPPER(Orders_Raw!B255))</f>
        <v>CUST0027</v>
      </c>
      <c r="C255" s="4" t="str">
        <f aca="false">PROPER(TRIM(Orders_Raw!C255))</f>
        <v>Yusuf Sani</v>
      </c>
      <c r="D255" s="6" t="n">
        <f aca="false">IFERROR(DATEVALUE(Orders_Raw!D255),"")</f>
        <v>46117</v>
      </c>
      <c r="E255" s="4" t="str">
        <f aca="false">IF(D255="","No","Yes")</f>
        <v>Yes</v>
      </c>
      <c r="F255" s="4" t="n">
        <f aca="false">IFERROR(VALUE(SUBSTITUTE(SUBSTITUTE(SUBSTITUTE(Orders_Raw!G255,"$",""),"NGN",""),",","")),"")</f>
        <v>1205.37</v>
      </c>
      <c r="G255" s="4" t="str">
        <f aca="false">IF(F255="","No","Yes")</f>
        <v>Yes</v>
      </c>
      <c r="H255" s="4" t="str">
        <f aca="false">Orders_Raw!F255</f>
        <v>1</v>
      </c>
      <c r="I255" s="4" t="str">
        <f aca="false">IF(H255="","No",IF(H255&lt;=0,"No","Yes"))</f>
        <v>Yes</v>
      </c>
      <c r="J255" s="4" t="str">
        <f aca="false">Orders_Raw!E255</f>
        <v>Charger</v>
      </c>
      <c r="K255" s="4" t="str">
        <f aca="false">Orders_Raw!H255</f>
        <v>2026-05-04 08:08</v>
      </c>
      <c r="L255" s="4" t="str">
        <f aca="false">IF(COUNTIF(Orders_Raw!$A$5:$A$539,A255)&gt;1,"YES","No")</f>
        <v>No</v>
      </c>
      <c r="M255" s="4" t="str">
        <f aca="false">IF(COUNTIFS($B$5:$B$539,B255,$D$5:$D$539,D255,$F$5:$F$539,F255)&gt;1,"YES","No")</f>
        <v>No</v>
      </c>
      <c r="N255" s="4" t="str">
        <f aca="false">IFERROR(INDEX(Customer_Master!$B$5:$B$64,MATCH(B255,Customer_Master!$A$5:$A$64,0)),"UNMATCHED")</f>
        <v>Yusuf Sani</v>
      </c>
      <c r="O255" s="4" t="str">
        <f aca="false">IFERROR(INDEX(Customer_Master!$C$5:$C$64,MATCH(B255,Customer_Master!$A$5:$A$64,0)),"UNMATCHED")</f>
        <v>Loyal</v>
      </c>
      <c r="P255" s="4" t="str">
        <f aca="false">IFERROR(INDEX(Customer_Master!$D$5:$D$64,MATCH(B255,Customer_Master!$A$5:$A$64,0)),"UNMATCHED")</f>
        <v>Kano</v>
      </c>
      <c r="Q255" s="4" t="str">
        <f aca="false">IF(N255="UNMATCHED","Unmatched","Matched")</f>
        <v>Matched</v>
      </c>
      <c r="R255" s="4" t="str">
        <f aca="false">IF(OR(E255="No",G255="No",I255="No",L255="YES",Q255="Unmatched"),"NEEDS REVIEW","OK")</f>
        <v>OK</v>
      </c>
    </row>
    <row r="256" customFormat="false" ht="15" hidden="false" customHeight="false" outlineLevel="0" collapsed="false">
      <c r="A256" s="4" t="str">
        <f aca="false">Orders_Raw!A256</f>
        <v>ORD00173</v>
      </c>
      <c r="B256" s="4" t="str">
        <f aca="false">TRIM(UPPER(Orders_Raw!B256))</f>
        <v>CUST0002</v>
      </c>
      <c r="C256" s="4" t="str">
        <f aca="false">PROPER(TRIM(Orders_Raw!C256))</f>
        <v>Tunde Ajayi</v>
      </c>
      <c r="D256" s="6" t="n">
        <f aca="false">IFERROR(DATEVALUE(Orders_Raw!D256),"")</f>
        <v>46195</v>
      </c>
      <c r="E256" s="4" t="str">
        <f aca="false">IF(D256="","No","Yes")</f>
        <v>Yes</v>
      </c>
      <c r="F256" s="4" t="n">
        <f aca="false">IFERROR(VALUE(SUBSTITUTE(SUBSTITUTE(SUBSTITUTE(Orders_Raw!G256,"$",""),"NGN",""),",","")),"")</f>
        <v>1068.96</v>
      </c>
      <c r="G256" s="4" t="str">
        <f aca="false">IF(F256="","No","Yes")</f>
        <v>Yes</v>
      </c>
      <c r="H256" s="4" t="str">
        <f aca="false">Orders_Raw!F256</f>
        <v>5</v>
      </c>
      <c r="I256" s="4" t="str">
        <f aca="false">IF(H256="","No",IF(H256&lt;=0,"No","Yes"))</f>
        <v>Yes</v>
      </c>
      <c r="J256" s="4" t="str">
        <f aca="false">Orders_Raw!E256</f>
        <v>Headphones</v>
      </c>
      <c r="K256" s="4" t="str">
        <f aca="false">Orders_Raw!H256</f>
        <v>2026-06-22 12:12</v>
      </c>
      <c r="L256" s="4" t="str">
        <f aca="false">IF(COUNTIF(Orders_Raw!$A$5:$A$539,A256)&gt;1,"YES","No")</f>
        <v>YES</v>
      </c>
      <c r="M256" s="4" t="str">
        <f aca="false">IF(COUNTIFS($B$5:$B$539,B256,$D$5:$D$539,D256,$F$5:$F$539,F256)&gt;1,"YES","No")</f>
        <v>YES</v>
      </c>
      <c r="N256" s="4" t="str">
        <f aca="false">IFERROR(INDEX(Customer_Master!$B$5:$B$64,MATCH(B256,Customer_Master!$A$5:$A$64,0)),"UNMATCHED")</f>
        <v>Tunde Ajayi</v>
      </c>
      <c r="O256" s="4" t="str">
        <f aca="false">IFERROR(INDEX(Customer_Master!$C$5:$C$64,MATCH(B256,Customer_Master!$A$5:$A$64,0)),"UNMATCHED")</f>
        <v>Loyal</v>
      </c>
      <c r="P256" s="4" t="str">
        <f aca="false">IFERROR(INDEX(Customer_Master!$D$5:$D$64,MATCH(B256,Customer_Master!$A$5:$A$64,0)),"UNMATCHED")</f>
        <v>Abuja</v>
      </c>
      <c r="Q256" s="4" t="str">
        <f aca="false">IF(N256="UNMATCHED","Unmatched","Matched")</f>
        <v>Matched</v>
      </c>
      <c r="R256" s="4" t="str">
        <f aca="false">IF(OR(E256="No",G256="No",I256="No",L256="YES",Q256="Unmatched"),"NEEDS REVIEW","OK")</f>
        <v>NEEDS REVIEW</v>
      </c>
    </row>
    <row r="257" customFormat="false" ht="15" hidden="false" customHeight="false" outlineLevel="0" collapsed="false">
      <c r="A257" s="4" t="str">
        <f aca="false">Orders_Raw!A257</f>
        <v>ORD00205</v>
      </c>
      <c r="B257" s="4" t="str">
        <f aca="false">TRIM(UPPER(Orders_Raw!B257))</f>
        <v>CUST0020</v>
      </c>
      <c r="C257" s="4" t="str">
        <f aca="false">PROPER(TRIM(Orders_Raw!C257))</f>
        <v>Mary Okafor</v>
      </c>
      <c r="D257" s="6" t="n">
        <f aca="false">IFERROR(DATEVALUE(Orders_Raw!D257),"")</f>
        <v>46088</v>
      </c>
      <c r="E257" s="4" t="str">
        <f aca="false">IF(D257="","No","Yes")</f>
        <v>Yes</v>
      </c>
      <c r="F257" s="4" t="n">
        <f aca="false">IFERROR(VALUE(SUBSTITUTE(SUBSTITUTE(SUBSTITUTE(Orders_Raw!G257,"$",""),"NGN",""),",","")),"")</f>
        <v>1975.86</v>
      </c>
      <c r="G257" s="4" t="str">
        <f aca="false">IF(F257="","No","Yes")</f>
        <v>Yes</v>
      </c>
      <c r="H257" s="4" t="str">
        <f aca="false">Orders_Raw!F257</f>
        <v>2</v>
      </c>
      <c r="I257" s="4" t="str">
        <f aca="false">IF(H257="","No",IF(H257&lt;=0,"No","Yes"))</f>
        <v>Yes</v>
      </c>
      <c r="J257" s="4" t="str">
        <f aca="false">Orders_Raw!E257</f>
        <v>Monitor</v>
      </c>
      <c r="K257" s="4" t="str">
        <f aca="false">Orders_Raw!H257</f>
        <v>2026-07-03 16:32</v>
      </c>
      <c r="L257" s="4" t="str">
        <f aca="false">IF(COUNTIF(Orders_Raw!$A$5:$A$539,A257)&gt;1,"YES","No")</f>
        <v>No</v>
      </c>
      <c r="M257" s="4" t="str">
        <f aca="false">IF(COUNTIFS($B$5:$B$539,B257,$D$5:$D$539,D257,$F$5:$F$539,F257)&gt;1,"YES","No")</f>
        <v>No</v>
      </c>
      <c r="N257" s="4" t="str">
        <f aca="false">IFERROR(INDEX(Customer_Master!$B$5:$B$64,MATCH(B257,Customer_Master!$A$5:$A$64,0)),"UNMATCHED")</f>
        <v>Mary Okafor</v>
      </c>
      <c r="O257" s="4" t="str">
        <f aca="false">IFERROR(INDEX(Customer_Master!$C$5:$C$64,MATCH(B257,Customer_Master!$A$5:$A$64,0)),"UNMATCHED")</f>
        <v>New</v>
      </c>
      <c r="P257" s="4" t="str">
        <f aca="false">IFERROR(INDEX(Customer_Master!$D$5:$D$64,MATCH(B257,Customer_Master!$A$5:$A$64,0)),"UNMATCHED")</f>
        <v>Port Harcourt</v>
      </c>
      <c r="Q257" s="4" t="str">
        <f aca="false">IF(N257="UNMATCHED","Unmatched","Matched")</f>
        <v>Matched</v>
      </c>
      <c r="R257" s="4" t="str">
        <f aca="false">IF(OR(E257="No",G257="No",I257="No",L257="YES",Q257="Unmatched"),"NEEDS REVIEW","OK")</f>
        <v>OK</v>
      </c>
    </row>
    <row r="258" customFormat="false" ht="15" hidden="false" customHeight="false" outlineLevel="0" collapsed="false">
      <c r="A258" s="4" t="str">
        <f aca="false">Orders_Raw!A258</f>
        <v>ORD00311</v>
      </c>
      <c r="B258" s="4" t="str">
        <f aca="false">TRIM(UPPER(Orders_Raw!B258))</f>
        <v>CUST0015</v>
      </c>
      <c r="C258" s="4" t="str">
        <f aca="false">PROPER(TRIM(Orders_Raw!C258))</f>
        <v>Ahmed Nwosu</v>
      </c>
      <c r="D258" s="6" t="n">
        <f aca="false">IFERROR(DATEVALUE(Orders_Raw!D258),"")</f>
        <v>46268</v>
      </c>
      <c r="E258" s="4" t="str">
        <f aca="false">IF(D258="","No","Yes")</f>
        <v>Yes</v>
      </c>
      <c r="F258" s="4" t="n">
        <f aca="false">IFERROR(VALUE(SUBSTITUTE(SUBSTITUTE(SUBSTITUTE(Orders_Raw!G258,"$",""),"NGN",""),",","")),"")</f>
        <v>139.45</v>
      </c>
      <c r="G258" s="4" t="str">
        <f aca="false">IF(F258="","No","Yes")</f>
        <v>Yes</v>
      </c>
      <c r="H258" s="4" t="str">
        <f aca="false">Orders_Raw!F258</f>
        <v>5</v>
      </c>
      <c r="I258" s="4" t="str">
        <f aca="false">IF(H258="","No",IF(H258&lt;=0,"No","Yes"))</f>
        <v>Yes</v>
      </c>
      <c r="J258" s="4" t="str">
        <f aca="false">Orders_Raw!E258</f>
        <v>Keyboard</v>
      </c>
      <c r="K258" s="4" t="str">
        <f aca="false">Orders_Raw!H258</f>
        <v>2026-03-09 14:47</v>
      </c>
      <c r="L258" s="4" t="str">
        <f aca="false">IF(COUNTIF(Orders_Raw!$A$5:$A$539,A258)&gt;1,"YES","No")</f>
        <v>No</v>
      </c>
      <c r="M258" s="4" t="str">
        <f aca="false">IF(COUNTIFS($B$5:$B$539,B258,$D$5:$D$539,D258,$F$5:$F$539,F258)&gt;1,"YES","No")</f>
        <v>No</v>
      </c>
      <c r="N258" s="4" t="str">
        <f aca="false">IFERROR(INDEX(Customer_Master!$B$5:$B$64,MATCH(B258,Customer_Master!$A$5:$A$64,0)),"UNMATCHED")</f>
        <v>Ahmed Nwosu</v>
      </c>
      <c r="O258" s="4" t="str">
        <f aca="false">IFERROR(INDEX(Customer_Master!$C$5:$C$64,MATCH(B258,Customer_Master!$A$5:$A$64,0)),"UNMATCHED")</f>
        <v>Champions</v>
      </c>
      <c r="P258" s="4" t="str">
        <f aca="false">IFERROR(INDEX(Customer_Master!$D$5:$D$64,MATCH(B258,Customer_Master!$A$5:$A$64,0)),"UNMATCHED")</f>
        <v>Lagos</v>
      </c>
      <c r="Q258" s="4" t="str">
        <f aca="false">IF(N258="UNMATCHED","Unmatched","Matched")</f>
        <v>Matched</v>
      </c>
      <c r="R258" s="4" t="str">
        <f aca="false">IF(OR(E258="No",G258="No",I258="No",L258="YES",Q258="Unmatched"),"NEEDS REVIEW","OK")</f>
        <v>OK</v>
      </c>
    </row>
    <row r="259" customFormat="false" ht="15" hidden="false" customHeight="false" outlineLevel="0" collapsed="false">
      <c r="A259" s="4" t="str">
        <f aca="false">Orders_Raw!A259</f>
        <v>ORD00159</v>
      </c>
      <c r="B259" s="4" t="str">
        <f aca="false">TRIM(UPPER(Orders_Raw!B259))</f>
        <v>CUST0015</v>
      </c>
      <c r="C259" s="4" t="str">
        <f aca="false">PROPER(TRIM(Orders_Raw!C259))</f>
        <v>Ahmed Nwosu</v>
      </c>
      <c r="D259" s="6" t="str">
        <f aca="false">IFERROR(DATEVALUE(Orders_Raw!D259),"")</f>
        <v/>
      </c>
      <c r="E259" s="4" t="str">
        <f aca="false">IF(D259="","No","Yes")</f>
        <v>No</v>
      </c>
      <c r="F259" s="4" t="n">
        <f aca="false">IFERROR(VALUE(SUBSTITUTE(SUBSTITUTE(SUBSTITUTE(Orders_Raw!G259,"$",""),"NGN",""),",","")),"")</f>
        <v>2207.38</v>
      </c>
      <c r="G259" s="4" t="str">
        <f aca="false">IF(F259="","No","Yes")</f>
        <v>Yes</v>
      </c>
      <c r="H259" s="4" t="str">
        <f aca="false">Orders_Raw!F259</f>
        <v>1</v>
      </c>
      <c r="I259" s="4" t="str">
        <f aca="false">IF(H259="","No",IF(H259&lt;=0,"No","Yes"))</f>
        <v>Yes</v>
      </c>
      <c r="J259" s="4" t="str">
        <f aca="false">Orders_Raw!E259</f>
        <v>Printer</v>
      </c>
      <c r="K259" s="4" t="str">
        <f aca="false">Orders_Raw!H259</f>
        <v>2026-02-14 10:59</v>
      </c>
      <c r="L259" s="4" t="str">
        <f aca="false">IF(COUNTIF(Orders_Raw!$A$5:$A$539,A259)&gt;1,"YES","No")</f>
        <v>No</v>
      </c>
      <c r="M259" s="4" t="str">
        <f aca="false">IF(COUNTIFS($B$5:$B$539,B259,$D$5:$D$539,D259,$F$5:$F$539,F259)&gt;1,"YES","No")</f>
        <v>No</v>
      </c>
      <c r="N259" s="4" t="str">
        <f aca="false">IFERROR(INDEX(Customer_Master!$B$5:$B$64,MATCH(B259,Customer_Master!$A$5:$A$64,0)),"UNMATCHED")</f>
        <v>Ahmed Nwosu</v>
      </c>
      <c r="O259" s="4" t="str">
        <f aca="false">IFERROR(INDEX(Customer_Master!$C$5:$C$64,MATCH(B259,Customer_Master!$A$5:$A$64,0)),"UNMATCHED")</f>
        <v>Champions</v>
      </c>
      <c r="P259" s="4" t="str">
        <f aca="false">IFERROR(INDEX(Customer_Master!$D$5:$D$64,MATCH(B259,Customer_Master!$A$5:$A$64,0)),"UNMATCHED")</f>
        <v>Lagos</v>
      </c>
      <c r="Q259" s="4" t="str">
        <f aca="false">IF(N259="UNMATCHED","Unmatched","Matched")</f>
        <v>Matched</v>
      </c>
      <c r="R259" s="4" t="str">
        <f aca="false">IF(OR(E259="No",G259="No",I259="No",L259="YES",Q259="Unmatched"),"NEEDS REVIEW","OK")</f>
        <v>NEEDS REVIEW</v>
      </c>
    </row>
    <row r="260" customFormat="false" ht="15" hidden="false" customHeight="false" outlineLevel="0" collapsed="false">
      <c r="A260" s="4" t="str">
        <f aca="false">Orders_Raw!A260</f>
        <v>ORD00262</v>
      </c>
      <c r="B260" s="4" t="str">
        <f aca="false">TRIM(UPPER(Orders_Raw!B260))</f>
        <v>CUST0016</v>
      </c>
      <c r="C260" s="4" t="str">
        <f aca="false">PROPER(TRIM(Orders_Raw!C260))</f>
        <v>Chidi Ajayi</v>
      </c>
      <c r="D260" s="6" t="str">
        <f aca="false">IFERROR(DATEVALUE(Orders_Raw!D260),"")</f>
        <v/>
      </c>
      <c r="E260" s="4" t="str">
        <f aca="false">IF(D260="","No","Yes")</f>
        <v>No</v>
      </c>
      <c r="F260" s="4" t="n">
        <f aca="false">IFERROR(VALUE(SUBSTITUTE(SUBSTITUTE(SUBSTITUTE(Orders_Raw!G260,"$",""),"NGN",""),",","")),"")</f>
        <v>1913.66</v>
      </c>
      <c r="G260" s="4" t="str">
        <f aca="false">IF(F260="","No","Yes")</f>
        <v>Yes</v>
      </c>
      <c r="H260" s="4" t="str">
        <f aca="false">Orders_Raw!F260</f>
        <v>3</v>
      </c>
      <c r="I260" s="4" t="str">
        <f aca="false">IF(H260="","No",IF(H260&lt;=0,"No","Yes"))</f>
        <v>Yes</v>
      </c>
      <c r="J260" s="4" t="str">
        <f aca="false">Orders_Raw!E260</f>
        <v>Keyboard</v>
      </c>
      <c r="K260" s="4" t="str">
        <f aca="false">Orders_Raw!H260</f>
        <v>2026-05-17 10:11</v>
      </c>
      <c r="L260" s="4" t="str">
        <f aca="false">IF(COUNTIF(Orders_Raw!$A$5:$A$539,A260)&gt;1,"YES","No")</f>
        <v>No</v>
      </c>
      <c r="M260" s="4" t="str">
        <f aca="false">IF(COUNTIFS($B$5:$B$539,B260,$D$5:$D$539,D260,$F$5:$F$539,F260)&gt;1,"YES","No")</f>
        <v>No</v>
      </c>
      <c r="N260" s="4" t="str">
        <f aca="false">IFERROR(INDEX(Customer_Master!$B$5:$B$64,MATCH(B260,Customer_Master!$A$5:$A$64,0)),"UNMATCHED")</f>
        <v>Chidi Ajayi</v>
      </c>
      <c r="O260" s="4" t="str">
        <f aca="false">IFERROR(INDEX(Customer_Master!$C$5:$C$64,MATCH(B260,Customer_Master!$A$5:$A$64,0)),"UNMATCHED")</f>
        <v>At Risk</v>
      </c>
      <c r="P260" s="4" t="str">
        <f aca="false">IFERROR(INDEX(Customer_Master!$D$5:$D$64,MATCH(B260,Customer_Master!$A$5:$A$64,0)),"UNMATCHED")</f>
        <v>Abuja</v>
      </c>
      <c r="Q260" s="4" t="str">
        <f aca="false">IF(N260="UNMATCHED","Unmatched","Matched")</f>
        <v>Matched</v>
      </c>
      <c r="R260" s="4" t="str">
        <f aca="false">IF(OR(E260="No",G260="No",I260="No",L260="YES",Q260="Unmatched"),"NEEDS REVIEW","OK")</f>
        <v>NEEDS REVIEW</v>
      </c>
    </row>
    <row r="261" customFormat="false" ht="15" hidden="false" customHeight="false" outlineLevel="0" collapsed="false">
      <c r="A261" s="4" t="str">
        <f aca="false">Orders_Raw!A261</f>
        <v>ORD00150</v>
      </c>
      <c r="B261" s="4" t="str">
        <f aca="false">TRIM(UPPER(Orders_Raw!B261))</f>
        <v>CUST0017</v>
      </c>
      <c r="C261" s="4" t="str">
        <f aca="false">PROPER(TRIM(Orders_Raw!C261))</f>
        <v>Ibrahim Ajayi</v>
      </c>
      <c r="D261" s="6" t="n">
        <f aca="false">IFERROR(DATEVALUE(Orders_Raw!D261),"")</f>
        <v>46170</v>
      </c>
      <c r="E261" s="4" t="str">
        <f aca="false">IF(D261="","No","Yes")</f>
        <v>Yes</v>
      </c>
      <c r="F261" s="4" t="n">
        <f aca="false">IFERROR(VALUE(SUBSTITUTE(SUBSTITUTE(SUBSTITUTE(Orders_Raw!G261,"$",""),"NGN",""),",","")),"")</f>
        <v>1807.68</v>
      </c>
      <c r="G261" s="4" t="str">
        <f aca="false">IF(F261="","No","Yes")</f>
        <v>Yes</v>
      </c>
      <c r="H261" s="4" t="str">
        <f aca="false">Orders_Raw!F261</f>
        <v>2</v>
      </c>
      <c r="I261" s="4" t="str">
        <f aca="false">IF(H261="","No",IF(H261&lt;=0,"No","Yes"))</f>
        <v>Yes</v>
      </c>
      <c r="J261" s="4" t="str">
        <f aca="false">Orders_Raw!E261</f>
        <v>Speaker</v>
      </c>
      <c r="K261" s="4" t="str">
        <f aca="false">Orders_Raw!H261</f>
        <v>2026-05-28 14:09</v>
      </c>
      <c r="L261" s="4" t="str">
        <f aca="false">IF(COUNTIF(Orders_Raw!$A$5:$A$539,A261)&gt;1,"YES","No")</f>
        <v>No</v>
      </c>
      <c r="M261" s="4" t="str">
        <f aca="false">IF(COUNTIFS($B$5:$B$539,B261,$D$5:$D$539,D261,$F$5:$F$539,F261)&gt;1,"YES","No")</f>
        <v>No</v>
      </c>
      <c r="N261" s="4" t="str">
        <f aca="false">IFERROR(INDEX(Customer_Master!$B$5:$B$64,MATCH(B261,Customer_Master!$A$5:$A$64,0)),"UNMATCHED")</f>
        <v>Ibrahim Ajayi</v>
      </c>
      <c r="O261" s="4" t="str">
        <f aca="false">IFERROR(INDEX(Customer_Master!$C$5:$C$64,MATCH(B261,Customer_Master!$A$5:$A$64,0)),"UNMATCHED")</f>
        <v>Champions</v>
      </c>
      <c r="P261" s="4" t="str">
        <f aca="false">IFERROR(INDEX(Customer_Master!$D$5:$D$64,MATCH(B261,Customer_Master!$A$5:$A$64,0)),"UNMATCHED")</f>
        <v>Enugu</v>
      </c>
      <c r="Q261" s="4" t="str">
        <f aca="false">IF(N261="UNMATCHED","Unmatched","Matched")</f>
        <v>Matched</v>
      </c>
      <c r="R261" s="4" t="str">
        <f aca="false">IF(OR(E261="No",G261="No",I261="No",L261="YES",Q261="Unmatched"),"NEEDS REVIEW","OK")</f>
        <v>OK</v>
      </c>
    </row>
    <row r="262" customFormat="false" ht="15" hidden="false" customHeight="false" outlineLevel="0" collapsed="false">
      <c r="A262" s="4" t="str">
        <f aca="false">Orders_Raw!A262</f>
        <v>ORD00463</v>
      </c>
      <c r="B262" s="4" t="str">
        <f aca="false">TRIM(UPPER(Orders_Raw!B262))</f>
        <v>CUST0024</v>
      </c>
      <c r="C262" s="4" t="str">
        <f aca="false">PROPER(TRIM(Orders_Raw!C262))</f>
        <v>Aisha Adeyemi</v>
      </c>
      <c r="D262" s="6" t="str">
        <f aca="false">IFERROR(DATEVALUE(Orders_Raw!D262),"")</f>
        <v/>
      </c>
      <c r="E262" s="4" t="str">
        <f aca="false">IF(D262="","No","Yes")</f>
        <v>No</v>
      </c>
      <c r="F262" s="4" t="n">
        <f aca="false">IFERROR(VALUE(SUBSTITUTE(SUBSTITUTE(SUBSTITUTE(Orders_Raw!G262,"$",""),"NGN",""),",","")),"")</f>
        <v>2110.62</v>
      </c>
      <c r="G262" s="4" t="str">
        <f aca="false">IF(F262="","No","Yes")</f>
        <v>Yes</v>
      </c>
      <c r="H262" s="4" t="str">
        <f aca="false">Orders_Raw!F262</f>
        <v>2</v>
      </c>
      <c r="I262" s="4" t="str">
        <f aca="false">IF(H262="","No",IF(H262&lt;=0,"No","Yes"))</f>
        <v>Yes</v>
      </c>
      <c r="J262" s="4" t="str">
        <f aca="false">Orders_Raw!E262</f>
        <v>Mouse</v>
      </c>
      <c r="K262" s="4" t="str">
        <f aca="false">Orders_Raw!H262</f>
        <v>2026-07-14 13:33</v>
      </c>
      <c r="L262" s="4" t="str">
        <f aca="false">IF(COUNTIF(Orders_Raw!$A$5:$A$539,A262)&gt;1,"YES","No")</f>
        <v>No</v>
      </c>
      <c r="M262" s="4" t="str">
        <f aca="false">IF(COUNTIFS($B$5:$B$539,B262,$D$5:$D$539,D262,$F$5:$F$539,F262)&gt;1,"YES","No")</f>
        <v>No</v>
      </c>
      <c r="N262" s="4" t="str">
        <f aca="false">IFERROR(INDEX(Customer_Master!$B$5:$B$64,MATCH(B262,Customer_Master!$A$5:$A$64,0)),"UNMATCHED")</f>
        <v>Aisha Adeyemi</v>
      </c>
      <c r="O262" s="4" t="str">
        <f aca="false">IFERROR(INDEX(Customer_Master!$C$5:$C$64,MATCH(B262,Customer_Master!$A$5:$A$64,0)),"UNMATCHED")</f>
        <v>At Risk</v>
      </c>
      <c r="P262" s="4" t="str">
        <f aca="false">IFERROR(INDEX(Customer_Master!$D$5:$D$64,MATCH(B262,Customer_Master!$A$5:$A$64,0)),"UNMATCHED")</f>
        <v>Enugu</v>
      </c>
      <c r="Q262" s="4" t="str">
        <f aca="false">IF(N262="UNMATCHED","Unmatched","Matched")</f>
        <v>Matched</v>
      </c>
      <c r="R262" s="4" t="str">
        <f aca="false">IF(OR(E262="No",G262="No",I262="No",L262="YES",Q262="Unmatched"),"NEEDS REVIEW","OK")</f>
        <v>NEEDS REVIEW</v>
      </c>
    </row>
    <row r="263" customFormat="false" ht="15" hidden="false" customHeight="false" outlineLevel="0" collapsed="false">
      <c r="A263" s="4" t="str">
        <f aca="false">Orders_Raw!A263</f>
        <v>ORD00063</v>
      </c>
      <c r="B263" s="4" t="str">
        <f aca="false">TRIM(UPPER(Orders_Raw!B263))</f>
        <v>CUST0048</v>
      </c>
      <c r="C263" s="4" t="str">
        <f aca="false">PROPER(TRIM(Orders_Raw!C263))</f>
        <v>Musa Chukwu</v>
      </c>
      <c r="D263" s="6" t="n">
        <f aca="false">IFERROR(DATEVALUE(Orders_Raw!D263),"")</f>
        <v>46121</v>
      </c>
      <c r="E263" s="4" t="str">
        <f aca="false">IF(D263="","No","Yes")</f>
        <v>Yes</v>
      </c>
      <c r="F263" s="4" t="n">
        <f aca="false">IFERROR(VALUE(SUBSTITUTE(SUBSTITUTE(SUBSTITUTE(Orders_Raw!G263,"$",""),"NGN",""),",","")),"")</f>
        <v>1245.89</v>
      </c>
      <c r="G263" s="4" t="str">
        <f aca="false">IF(F263="","No","Yes")</f>
        <v>Yes</v>
      </c>
      <c r="H263" s="4" t="str">
        <f aca="false">Orders_Raw!F263</f>
        <v>1</v>
      </c>
      <c r="I263" s="4" t="str">
        <f aca="false">IF(H263="","No",IF(H263&lt;=0,"No","Yes"))</f>
        <v>Yes</v>
      </c>
      <c r="J263" s="4" t="str">
        <f aca="false">Orders_Raw!E263</f>
        <v>Phone</v>
      </c>
      <c r="K263" s="4" t="str">
        <f aca="false">Orders_Raw!H263</f>
        <v>2026-04-09 15:06</v>
      </c>
      <c r="L263" s="4" t="str">
        <f aca="false">IF(COUNTIF(Orders_Raw!$A$5:$A$539,A263)&gt;1,"YES","No")</f>
        <v>No</v>
      </c>
      <c r="M263" s="4" t="str">
        <f aca="false">IF(COUNTIFS($B$5:$B$539,B263,$D$5:$D$539,D263,$F$5:$F$539,F263)&gt;1,"YES","No")</f>
        <v>No</v>
      </c>
      <c r="N263" s="4" t="str">
        <f aca="false">IFERROR(INDEX(Customer_Master!$B$5:$B$64,MATCH(B263,Customer_Master!$A$5:$A$64,0)),"UNMATCHED")</f>
        <v>Musa Chukwu</v>
      </c>
      <c r="O263" s="4" t="str">
        <f aca="false">IFERROR(INDEX(Customer_Master!$C$5:$C$64,MATCH(B263,Customer_Master!$A$5:$A$64,0)),"UNMATCHED")</f>
        <v>Lost / Low-Value</v>
      </c>
      <c r="P263" s="4" t="str">
        <f aca="false">IFERROR(INDEX(Customer_Master!$D$5:$D$64,MATCH(B263,Customer_Master!$A$5:$A$64,0)),"UNMATCHED")</f>
        <v>Kaduna</v>
      </c>
      <c r="Q263" s="4" t="str">
        <f aca="false">IF(N263="UNMATCHED","Unmatched","Matched")</f>
        <v>Matched</v>
      </c>
      <c r="R263" s="4" t="str">
        <f aca="false">IF(OR(E263="No",G263="No",I263="No",L263="YES",Q263="Unmatched"),"NEEDS REVIEW","OK")</f>
        <v>OK</v>
      </c>
    </row>
    <row r="264" customFormat="false" ht="15" hidden="false" customHeight="false" outlineLevel="0" collapsed="false">
      <c r="A264" s="4" t="str">
        <f aca="false">Orders_Raw!A264</f>
        <v>ORD00257</v>
      </c>
      <c r="B264" s="4" t="str">
        <f aca="false">TRIM(UPPER(Orders_Raw!B264))</f>
        <v>CUST0058</v>
      </c>
      <c r="C264" s="4" t="str">
        <f aca="false">PROPER(TRIM(Orders_Raw!C264))</f>
        <v>Blessing Balogun</v>
      </c>
      <c r="D264" s="6" t="n">
        <f aca="false">IFERROR(DATEVALUE(Orders_Raw!D264),"")</f>
        <v>46024</v>
      </c>
      <c r="E264" s="4" t="str">
        <f aca="false">IF(D264="","No","Yes")</f>
        <v>Yes</v>
      </c>
      <c r="F264" s="4" t="n">
        <f aca="false">IFERROR(VALUE(SUBSTITUTE(SUBSTITUTE(SUBSTITUTE(Orders_Raw!G264,"$",""),"NGN",""),",","")),"")</f>
        <v>2356.57</v>
      </c>
      <c r="G264" s="4" t="str">
        <f aca="false">IF(F264="","No","Yes")</f>
        <v>Yes</v>
      </c>
      <c r="H264" s="4" t="str">
        <f aca="false">Orders_Raw!F264</f>
        <v>1</v>
      </c>
      <c r="I264" s="4" t="str">
        <f aca="false">IF(H264="","No",IF(H264&lt;=0,"No","Yes"))</f>
        <v>Yes</v>
      </c>
      <c r="J264" s="4" t="str">
        <f aca="false">Orders_Raw!E264</f>
        <v>Monitor</v>
      </c>
      <c r="K264" s="4" t="str">
        <f aca="false">Orders_Raw!H264</f>
        <v>2026-02-01 15:01</v>
      </c>
      <c r="L264" s="4" t="str">
        <f aca="false">IF(COUNTIF(Orders_Raw!$A$5:$A$539,A264)&gt;1,"YES","No")</f>
        <v>No</v>
      </c>
      <c r="M264" s="4" t="str">
        <f aca="false">IF(COUNTIFS($B$5:$B$539,B264,$D$5:$D$539,D264,$F$5:$F$539,F264)&gt;1,"YES","No")</f>
        <v>No</v>
      </c>
      <c r="N264" s="4" t="str">
        <f aca="false">IFERROR(INDEX(Customer_Master!$B$5:$B$64,MATCH(B264,Customer_Master!$A$5:$A$64,0)),"UNMATCHED")</f>
        <v>Blessing Balogun</v>
      </c>
      <c r="O264" s="4" t="str">
        <f aca="false">IFERROR(INDEX(Customer_Master!$C$5:$C$64,MATCH(B264,Customer_Master!$A$5:$A$64,0)),"UNMATCHED")</f>
        <v>Lost / Low-Value</v>
      </c>
      <c r="P264" s="4" t="str">
        <f aca="false">IFERROR(INDEX(Customer_Master!$D$5:$D$64,MATCH(B264,Customer_Master!$A$5:$A$64,0)),"UNMATCHED")</f>
        <v>Lagos</v>
      </c>
      <c r="Q264" s="4" t="str">
        <f aca="false">IF(N264="UNMATCHED","Unmatched","Matched")</f>
        <v>Matched</v>
      </c>
      <c r="R264" s="4" t="str">
        <f aca="false">IF(OR(E264="No",G264="No",I264="No",L264="YES",Q264="Unmatched"),"NEEDS REVIEW","OK")</f>
        <v>OK</v>
      </c>
    </row>
    <row r="265" customFormat="false" ht="15" hidden="false" customHeight="false" outlineLevel="0" collapsed="false">
      <c r="A265" s="4" t="str">
        <f aca="false">Orders_Raw!A265</f>
        <v>ORD00410</v>
      </c>
      <c r="B265" s="4" t="str">
        <f aca="false">TRIM(UPPER(Orders_Raw!B265))</f>
        <v>CUST0031</v>
      </c>
      <c r="C265" s="4" t="str">
        <f aca="false">PROPER(TRIM(Orders_Raw!C265))</f>
        <v>Emeka Adeyemi</v>
      </c>
      <c r="D265" s="6" t="n">
        <f aca="false">IFERROR(DATEVALUE(Orders_Raw!D265),"")</f>
        <v>46105</v>
      </c>
      <c r="E265" s="4" t="str">
        <f aca="false">IF(D265="","No","Yes")</f>
        <v>Yes</v>
      </c>
      <c r="F265" s="4" t="n">
        <f aca="false">IFERROR(VALUE(SUBSTITUTE(SUBSTITUTE(SUBSTITUTE(Orders_Raw!G265,"$",""),"NGN",""),",","")),"")</f>
        <v>1578.47</v>
      </c>
      <c r="G265" s="4" t="str">
        <f aca="false">IF(F265="","No","Yes")</f>
        <v>Yes</v>
      </c>
      <c r="H265" s="4" t="str">
        <f aca="false">Orders_Raw!F265</f>
        <v>4</v>
      </c>
      <c r="I265" s="4" t="str">
        <f aca="false">IF(H265="","No",IF(H265&lt;=0,"No","Yes"))</f>
        <v>Yes</v>
      </c>
      <c r="J265" s="4" t="str">
        <f aca="false">Orders_Raw!E265</f>
        <v>Mouse</v>
      </c>
      <c r="K265" s="4" t="str">
        <f aca="false">Orders_Raw!H265</f>
        <v>2026-03-24 15:40</v>
      </c>
      <c r="L265" s="4" t="str">
        <f aca="false">IF(COUNTIF(Orders_Raw!$A$5:$A$539,A265)&gt;1,"YES","No")</f>
        <v>No</v>
      </c>
      <c r="M265" s="4" t="str">
        <f aca="false">IF(COUNTIFS($B$5:$B$539,B265,$D$5:$D$539,D265,$F$5:$F$539,F265)&gt;1,"YES","No")</f>
        <v>No</v>
      </c>
      <c r="N265" s="4" t="str">
        <f aca="false">IFERROR(INDEX(Customer_Master!$B$5:$B$64,MATCH(B265,Customer_Master!$A$5:$A$64,0)),"UNMATCHED")</f>
        <v>Emeka Adeyemi</v>
      </c>
      <c r="O265" s="4" t="str">
        <f aca="false">IFERROR(INDEX(Customer_Master!$C$5:$C$64,MATCH(B265,Customer_Master!$A$5:$A$64,0)),"UNMATCHED")</f>
        <v>Champions</v>
      </c>
      <c r="P265" s="4" t="str">
        <f aca="false">IFERROR(INDEX(Customer_Master!$D$5:$D$64,MATCH(B265,Customer_Master!$A$5:$A$64,0)),"UNMATCHED")</f>
        <v>Port Harcourt</v>
      </c>
      <c r="Q265" s="4" t="str">
        <f aca="false">IF(N265="UNMATCHED","Unmatched","Matched")</f>
        <v>Matched</v>
      </c>
      <c r="R265" s="4" t="str">
        <f aca="false">IF(OR(E265="No",G265="No",I265="No",L265="YES",Q265="Unmatched"),"NEEDS REVIEW","OK")</f>
        <v>OK</v>
      </c>
    </row>
    <row r="266" customFormat="false" ht="15" hidden="false" customHeight="false" outlineLevel="0" collapsed="false">
      <c r="A266" s="4" t="str">
        <f aca="false">Orders_Raw!A266</f>
        <v>ORD00336</v>
      </c>
      <c r="B266" s="4" t="str">
        <f aca="false">TRIM(UPPER(Orders_Raw!B266))</f>
        <v>CUST0030</v>
      </c>
      <c r="C266" s="4" t="str">
        <f aca="false">PROPER(TRIM(Orders_Raw!C266))</f>
        <v>Ifeoma Ajayi</v>
      </c>
      <c r="D266" s="6" t="n">
        <f aca="false">IFERROR(DATEVALUE(Orders_Raw!D266),"")</f>
        <v>46033</v>
      </c>
      <c r="E266" s="4" t="str">
        <f aca="false">IF(D266="","No","Yes")</f>
        <v>Yes</v>
      </c>
      <c r="F266" s="4" t="n">
        <f aca="false">IFERROR(VALUE(SUBSTITUTE(SUBSTITUTE(SUBSTITUTE(Orders_Raw!G266,"$",""),"NGN",""),",","")),"")</f>
        <v>2322.64</v>
      </c>
      <c r="G266" s="4" t="str">
        <f aca="false">IF(F266="","No","Yes")</f>
        <v>Yes</v>
      </c>
      <c r="H266" s="4" t="str">
        <f aca="false">Orders_Raw!F266</f>
        <v>1</v>
      </c>
      <c r="I266" s="4" t="str">
        <f aca="false">IF(H266="","No",IF(H266&lt;=0,"No","Yes"))</f>
        <v>Yes</v>
      </c>
      <c r="J266" s="4" t="str">
        <f aca="false">Orders_Raw!E266</f>
        <v>Mouse</v>
      </c>
      <c r="K266" s="4" t="str">
        <f aca="false">Orders_Raw!H266</f>
        <v>2026-01-11 15:50</v>
      </c>
      <c r="L266" s="4" t="str">
        <f aca="false">IF(COUNTIF(Orders_Raw!$A$5:$A$539,A266)&gt;1,"YES","No")</f>
        <v>No</v>
      </c>
      <c r="M266" s="4" t="str">
        <f aca="false">IF(COUNTIFS($B$5:$B$539,B266,$D$5:$D$539,D266,$F$5:$F$539,F266)&gt;1,"YES","No")</f>
        <v>No</v>
      </c>
      <c r="N266" s="4" t="str">
        <f aca="false">IFERROR(INDEX(Customer_Master!$B$5:$B$64,MATCH(B266,Customer_Master!$A$5:$A$64,0)),"UNMATCHED")</f>
        <v>Ifeoma Ajayi</v>
      </c>
      <c r="O266" s="4" t="str">
        <f aca="false">IFERROR(INDEX(Customer_Master!$C$5:$C$64,MATCH(B266,Customer_Master!$A$5:$A$64,0)),"UNMATCHED")</f>
        <v>Loyal</v>
      </c>
      <c r="P266" s="4" t="str">
        <f aca="false">IFERROR(INDEX(Customer_Master!$D$5:$D$64,MATCH(B266,Customer_Master!$A$5:$A$64,0)),"UNMATCHED")</f>
        <v>Kaduna</v>
      </c>
      <c r="Q266" s="4" t="str">
        <f aca="false">IF(N266="UNMATCHED","Unmatched","Matched")</f>
        <v>Matched</v>
      </c>
      <c r="R266" s="4" t="str">
        <f aca="false">IF(OR(E266="No",G266="No",I266="No",L266="YES",Q266="Unmatched"),"NEEDS REVIEW","OK")</f>
        <v>OK</v>
      </c>
    </row>
    <row r="267" customFormat="false" ht="15" hidden="false" customHeight="false" outlineLevel="0" collapsed="false">
      <c r="A267" s="4" t="str">
        <f aca="false">Orders_Raw!A267</f>
        <v>ORD00177</v>
      </c>
      <c r="B267" s="4" t="str">
        <f aca="false">TRIM(UPPER(Orders_Raw!B267))</f>
        <v>CUST0020</v>
      </c>
      <c r="C267" s="4" t="str">
        <f aca="false">PROPER(TRIM(Orders_Raw!C267))</f>
        <v>Mary Okafor</v>
      </c>
      <c r="D267" s="6" t="n">
        <f aca="false">IFERROR(DATEVALUE(Orders_Raw!D267),"")</f>
        <v>46174</v>
      </c>
      <c r="E267" s="4" t="str">
        <f aca="false">IF(D267="","No","Yes")</f>
        <v>Yes</v>
      </c>
      <c r="F267" s="4" t="n">
        <f aca="false">IFERROR(VALUE(SUBSTITUTE(SUBSTITUTE(SUBSTITUTE(Orders_Raw!G267,"$",""),"NGN",""),",","")),"")</f>
        <v>1570.59</v>
      </c>
      <c r="G267" s="4" t="str">
        <f aca="false">IF(F267="","No","Yes")</f>
        <v>Yes</v>
      </c>
      <c r="H267" s="4" t="str">
        <f aca="false">Orders_Raw!F267</f>
        <v>3</v>
      </c>
      <c r="I267" s="4" t="str">
        <f aca="false">IF(H267="","No",IF(H267&lt;=0,"No","Yes"))</f>
        <v>Yes</v>
      </c>
      <c r="J267" s="4" t="str">
        <f aca="false">Orders_Raw!E267</f>
        <v>Monitor</v>
      </c>
      <c r="K267" s="4" t="str">
        <f aca="false">Orders_Raw!H267</f>
        <v>2026-06-01 16:20</v>
      </c>
      <c r="L267" s="4" t="str">
        <f aca="false">IF(COUNTIF(Orders_Raw!$A$5:$A$539,A267)&gt;1,"YES","No")</f>
        <v>No</v>
      </c>
      <c r="M267" s="4" t="str">
        <f aca="false">IF(COUNTIFS($B$5:$B$539,B267,$D$5:$D$539,D267,$F$5:$F$539,F267)&gt;1,"YES","No")</f>
        <v>No</v>
      </c>
      <c r="N267" s="4" t="str">
        <f aca="false">IFERROR(INDEX(Customer_Master!$B$5:$B$64,MATCH(B267,Customer_Master!$A$5:$A$64,0)),"UNMATCHED")</f>
        <v>Mary Okafor</v>
      </c>
      <c r="O267" s="4" t="str">
        <f aca="false">IFERROR(INDEX(Customer_Master!$C$5:$C$64,MATCH(B267,Customer_Master!$A$5:$A$64,0)),"UNMATCHED")</f>
        <v>New</v>
      </c>
      <c r="P267" s="4" t="str">
        <f aca="false">IFERROR(INDEX(Customer_Master!$D$5:$D$64,MATCH(B267,Customer_Master!$A$5:$A$64,0)),"UNMATCHED")</f>
        <v>Port Harcourt</v>
      </c>
      <c r="Q267" s="4" t="str">
        <f aca="false">IF(N267="UNMATCHED","Unmatched","Matched")</f>
        <v>Matched</v>
      </c>
      <c r="R267" s="4" t="str">
        <f aca="false">IF(OR(E267="No",G267="No",I267="No",L267="YES",Q267="Unmatched"),"NEEDS REVIEW","OK")</f>
        <v>OK</v>
      </c>
    </row>
    <row r="268" customFormat="false" ht="15" hidden="false" customHeight="false" outlineLevel="0" collapsed="false">
      <c r="A268" s="4" t="str">
        <f aca="false">Orders_Raw!A268</f>
        <v>ORD00191</v>
      </c>
      <c r="B268" s="4" t="str">
        <f aca="false">TRIM(UPPER(Orders_Raw!B268))</f>
        <v>CUST0032</v>
      </c>
      <c r="C268" s="4" t="str">
        <f aca="false">PROPER(TRIM(Orders_Raw!C268))</f>
        <v>Ola Obi</v>
      </c>
      <c r="D268" s="6" t="str">
        <f aca="false">IFERROR(DATEVALUE(Orders_Raw!D268),"")</f>
        <v/>
      </c>
      <c r="E268" s="4" t="str">
        <f aca="false">IF(D268="","No","Yes")</f>
        <v>No</v>
      </c>
      <c r="F268" s="4" t="n">
        <f aca="false">IFERROR(VALUE(SUBSTITUTE(SUBSTITUTE(SUBSTITUTE(Orders_Raw!G268,"$",""),"NGN",""),",","")),"")</f>
        <v>2238.56</v>
      </c>
      <c r="G268" s="4" t="str">
        <f aca="false">IF(F268="","No","Yes")</f>
        <v>Yes</v>
      </c>
      <c r="H268" s="4" t="str">
        <f aca="false">Orders_Raw!F268</f>
        <v>1</v>
      </c>
      <c r="I268" s="4" t="str">
        <f aca="false">IF(H268="","No",IF(H268&lt;=0,"No","Yes"))</f>
        <v>Yes</v>
      </c>
      <c r="J268" s="4" t="str">
        <f aca="false">Orders_Raw!E268</f>
        <v>Speaker</v>
      </c>
      <c r="K268" s="4" t="str">
        <f aca="false">Orders_Raw!H268</f>
        <v>2026-05-25 15:17</v>
      </c>
      <c r="L268" s="4" t="str">
        <f aca="false">IF(COUNTIF(Orders_Raw!$A$5:$A$539,A268)&gt;1,"YES","No")</f>
        <v>No</v>
      </c>
      <c r="M268" s="4" t="str">
        <f aca="false">IF(COUNTIFS($B$5:$B$539,B268,$D$5:$D$539,D268,$F$5:$F$539,F268)&gt;1,"YES","No")</f>
        <v>No</v>
      </c>
      <c r="N268" s="4" t="str">
        <f aca="false">IFERROR(INDEX(Customer_Master!$B$5:$B$64,MATCH(B268,Customer_Master!$A$5:$A$64,0)),"UNMATCHED")</f>
        <v>Ola Obi</v>
      </c>
      <c r="O268" s="4" t="str">
        <f aca="false">IFERROR(INDEX(Customer_Master!$C$5:$C$64,MATCH(B268,Customer_Master!$A$5:$A$64,0)),"UNMATCHED")</f>
        <v>Lost / Low-Value</v>
      </c>
      <c r="P268" s="4" t="str">
        <f aca="false">IFERROR(INDEX(Customer_Master!$D$5:$D$64,MATCH(B268,Customer_Master!$A$5:$A$64,0)),"UNMATCHED")</f>
        <v>Abuja</v>
      </c>
      <c r="Q268" s="4" t="str">
        <f aca="false">IF(N268="UNMATCHED","Unmatched","Matched")</f>
        <v>Matched</v>
      </c>
      <c r="R268" s="4" t="str">
        <f aca="false">IF(OR(E268="No",G268="No",I268="No",L268="YES",Q268="Unmatched"),"NEEDS REVIEW","OK")</f>
        <v>NEEDS REVIEW</v>
      </c>
    </row>
    <row r="269" customFormat="false" ht="15" hidden="false" customHeight="false" outlineLevel="0" collapsed="false">
      <c r="A269" s="4" t="str">
        <f aca="false">Orders_Raw!A269</f>
        <v>ORD00033</v>
      </c>
      <c r="B269" s="4" t="str">
        <f aca="false">TRIM(UPPER(Orders_Raw!B269))</f>
        <v>CUST0054</v>
      </c>
      <c r="C269" s="4" t="str">
        <f aca="false">PROPER(TRIM(Orders_Raw!C269))</f>
        <v>Samuel Ajayi</v>
      </c>
      <c r="D269" s="6" t="n">
        <f aca="false">IFERROR(DATEVALUE(Orders_Raw!D269),"")</f>
        <v>46027</v>
      </c>
      <c r="E269" s="4" t="str">
        <f aca="false">IF(D269="","No","Yes")</f>
        <v>Yes</v>
      </c>
      <c r="F269" s="4" t="n">
        <f aca="false">IFERROR(VALUE(SUBSTITUTE(SUBSTITUTE(SUBSTITUTE(Orders_Raw!G269,"$",""),"NGN",""),",","")),"")</f>
        <v>1876.33</v>
      </c>
      <c r="G269" s="4" t="str">
        <f aca="false">IF(F269="","No","Yes")</f>
        <v>Yes</v>
      </c>
      <c r="H269" s="4" t="str">
        <f aca="false">Orders_Raw!F269</f>
        <v>2</v>
      </c>
      <c r="I269" s="4" t="str">
        <f aca="false">IF(H269="","No",IF(H269&lt;=0,"No","Yes"))</f>
        <v>Yes</v>
      </c>
      <c r="J269" s="4" t="str">
        <f aca="false">Orders_Raw!E269</f>
        <v>Laptop</v>
      </c>
      <c r="K269" s="4" t="str">
        <f aca="false">Orders_Raw!H269</f>
        <v>2026-05-01 08:15</v>
      </c>
      <c r="L269" s="4" t="str">
        <f aca="false">IF(COUNTIF(Orders_Raw!$A$5:$A$539,A269)&gt;1,"YES","No")</f>
        <v>No</v>
      </c>
      <c r="M269" s="4" t="str">
        <f aca="false">IF(COUNTIFS($B$5:$B$539,B269,$D$5:$D$539,D269,$F$5:$F$539,F269)&gt;1,"YES","No")</f>
        <v>No</v>
      </c>
      <c r="N269" s="4" t="str">
        <f aca="false">IFERROR(INDEX(Customer_Master!$B$5:$B$64,MATCH(B269,Customer_Master!$A$5:$A$64,0)),"UNMATCHED")</f>
        <v>Samuel Ajayi</v>
      </c>
      <c r="O269" s="4" t="str">
        <f aca="false">IFERROR(INDEX(Customer_Master!$C$5:$C$64,MATCH(B269,Customer_Master!$A$5:$A$64,0)),"UNMATCHED")</f>
        <v>At Risk</v>
      </c>
      <c r="P269" s="4" t="str">
        <f aca="false">IFERROR(INDEX(Customer_Master!$D$5:$D$64,MATCH(B269,Customer_Master!$A$5:$A$64,0)),"UNMATCHED")</f>
        <v>Kaduna</v>
      </c>
      <c r="Q269" s="4" t="str">
        <f aca="false">IF(N269="UNMATCHED","Unmatched","Matched")</f>
        <v>Matched</v>
      </c>
      <c r="R269" s="4" t="str">
        <f aca="false">IF(OR(E269="No",G269="No",I269="No",L269="YES",Q269="Unmatched"),"NEEDS REVIEW","OK")</f>
        <v>OK</v>
      </c>
    </row>
    <row r="270" customFormat="false" ht="15" hidden="false" customHeight="false" outlineLevel="0" collapsed="false">
      <c r="A270" s="4" t="str">
        <f aca="false">Orders_Raw!A270</f>
        <v>ORD00409</v>
      </c>
      <c r="B270" s="4" t="str">
        <f aca="false">TRIM(UPPER(Orders_Raw!B270))</f>
        <v>CUST0001</v>
      </c>
      <c r="C270" s="4" t="str">
        <f aca="false">PROPER(TRIM(Orders_Raw!C270))</f>
        <v>Ola Lawal</v>
      </c>
      <c r="D270" s="6" t="n">
        <f aca="false">IFERROR(DATEVALUE(Orders_Raw!D270),"")</f>
        <v>46269</v>
      </c>
      <c r="E270" s="4" t="str">
        <f aca="false">IF(D270="","No","Yes")</f>
        <v>Yes</v>
      </c>
      <c r="F270" s="4" t="n">
        <f aca="false">IFERROR(VALUE(SUBSTITUTE(SUBSTITUTE(SUBSTITUTE(Orders_Raw!G270,"$",""),"NGN",""),",","")),"")</f>
        <v>629.2</v>
      </c>
      <c r="G270" s="4" t="str">
        <f aca="false">IF(F270="","No","Yes")</f>
        <v>Yes</v>
      </c>
      <c r="H270" s="4" t="str">
        <f aca="false">Orders_Raw!F270</f>
        <v>1</v>
      </c>
      <c r="I270" s="4" t="str">
        <f aca="false">IF(H270="","No",IF(H270&lt;=0,"No","Yes"))</f>
        <v>Yes</v>
      </c>
      <c r="J270" s="4" t="str">
        <f aca="false">Orders_Raw!E270</f>
        <v>Tablet</v>
      </c>
      <c r="K270" s="4" t="str">
        <f aca="false">Orders_Raw!H270</f>
        <v>2026-04-09 18:13</v>
      </c>
      <c r="L270" s="4" t="str">
        <f aca="false">IF(COUNTIF(Orders_Raw!$A$5:$A$539,A270)&gt;1,"YES","No")</f>
        <v>No</v>
      </c>
      <c r="M270" s="4" t="str">
        <f aca="false">IF(COUNTIFS($B$5:$B$539,B270,$D$5:$D$539,D270,$F$5:$F$539,F270)&gt;1,"YES","No")</f>
        <v>No</v>
      </c>
      <c r="N270" s="4" t="str">
        <f aca="false">IFERROR(INDEX(Customer_Master!$B$5:$B$64,MATCH(B270,Customer_Master!$A$5:$A$64,0)),"UNMATCHED")</f>
        <v>Ola Lawal</v>
      </c>
      <c r="O270" s="4" t="str">
        <f aca="false">IFERROR(INDEX(Customer_Master!$C$5:$C$64,MATCH(B270,Customer_Master!$A$5:$A$64,0)),"UNMATCHED")</f>
        <v>Champions</v>
      </c>
      <c r="P270" s="4" t="str">
        <f aca="false">IFERROR(INDEX(Customer_Master!$D$5:$D$64,MATCH(B270,Customer_Master!$A$5:$A$64,0)),"UNMATCHED")</f>
        <v>Ibadan</v>
      </c>
      <c r="Q270" s="4" t="str">
        <f aca="false">IF(N270="UNMATCHED","Unmatched","Matched")</f>
        <v>Matched</v>
      </c>
      <c r="R270" s="4" t="str">
        <f aca="false">IF(OR(E270="No",G270="No",I270="No",L270="YES",Q270="Unmatched"),"NEEDS REVIEW","OK")</f>
        <v>OK</v>
      </c>
    </row>
    <row r="271" customFormat="false" ht="15" hidden="false" customHeight="false" outlineLevel="0" collapsed="false">
      <c r="A271" s="4" t="str">
        <f aca="false">Orders_Raw!A271</f>
        <v>ORD00476</v>
      </c>
      <c r="B271" s="4" t="str">
        <f aca="false">TRIM(UPPER(Orders_Raw!B271))</f>
        <v>CUST0013</v>
      </c>
      <c r="C271" s="4" t="str">
        <f aca="false">PROPER(TRIM(Orders_Raw!C271))</f>
        <v>Joy Lawal</v>
      </c>
      <c r="D271" s="6" t="str">
        <f aca="false">IFERROR(DATEVALUE(Orders_Raw!D271),"")</f>
        <v/>
      </c>
      <c r="E271" s="4" t="str">
        <f aca="false">IF(D271="","No","Yes")</f>
        <v>No</v>
      </c>
      <c r="F271" s="4" t="n">
        <f aca="false">IFERROR(VALUE(SUBSTITUTE(SUBSTITUTE(SUBSTITUTE(Orders_Raw!G271,"$",""),"NGN",""),",","")),"")</f>
        <v>1682.74</v>
      </c>
      <c r="G271" s="4" t="str">
        <f aca="false">IF(F271="","No","Yes")</f>
        <v>Yes</v>
      </c>
      <c r="H271" s="4" t="str">
        <f aca="false">Orders_Raw!F271</f>
        <v>1</v>
      </c>
      <c r="I271" s="4" t="str">
        <f aca="false">IF(H271="","No",IF(H271&lt;=0,"No","Yes"))</f>
        <v>Yes</v>
      </c>
      <c r="J271" s="4" t="str">
        <f aca="false">Orders_Raw!E271</f>
        <v>Speaker</v>
      </c>
      <c r="K271" s="4" t="str">
        <f aca="false">Orders_Raw!H271</f>
        <v>2026-03-23 16:32</v>
      </c>
      <c r="L271" s="4" t="str">
        <f aca="false">IF(COUNTIF(Orders_Raw!$A$5:$A$539,A271)&gt;1,"YES","No")</f>
        <v>No</v>
      </c>
      <c r="M271" s="4" t="str">
        <f aca="false">IF(COUNTIFS($B$5:$B$539,B271,$D$5:$D$539,D271,$F$5:$F$539,F271)&gt;1,"YES","No")</f>
        <v>No</v>
      </c>
      <c r="N271" s="4" t="str">
        <f aca="false">IFERROR(INDEX(Customer_Master!$B$5:$B$64,MATCH(B271,Customer_Master!$A$5:$A$64,0)),"UNMATCHED")</f>
        <v>Joy Lawal</v>
      </c>
      <c r="O271" s="4" t="str">
        <f aca="false">IFERROR(INDEX(Customer_Master!$C$5:$C$64,MATCH(B271,Customer_Master!$A$5:$A$64,0)),"UNMATCHED")</f>
        <v>Lost / Low-Value</v>
      </c>
      <c r="P271" s="4" t="str">
        <f aca="false">IFERROR(INDEX(Customer_Master!$D$5:$D$64,MATCH(B271,Customer_Master!$A$5:$A$64,0)),"UNMATCHED")</f>
        <v>Abuja</v>
      </c>
      <c r="Q271" s="4" t="str">
        <f aca="false">IF(N271="UNMATCHED","Unmatched","Matched")</f>
        <v>Matched</v>
      </c>
      <c r="R271" s="4" t="str">
        <f aca="false">IF(OR(E271="No",G271="No",I271="No",L271="YES",Q271="Unmatched"),"NEEDS REVIEW","OK")</f>
        <v>NEEDS REVIEW</v>
      </c>
    </row>
    <row r="272" customFormat="false" ht="15" hidden="false" customHeight="false" outlineLevel="0" collapsed="false">
      <c r="A272" s="4" t="str">
        <f aca="false">Orders_Raw!A272</f>
        <v>ORD00217</v>
      </c>
      <c r="B272" s="4" t="str">
        <f aca="false">TRIM(UPPER(Orders_Raw!B272))</f>
        <v>CUST0032</v>
      </c>
      <c r="C272" s="4" t="str">
        <f aca="false">PROPER(TRIM(Orders_Raw!C272))</f>
        <v>Ola Obi</v>
      </c>
      <c r="D272" s="6" t="str">
        <f aca="false">IFERROR(DATEVALUE(Orders_Raw!D272),"")</f>
        <v/>
      </c>
      <c r="E272" s="4" t="str">
        <f aca="false">IF(D272="","No","Yes")</f>
        <v>No</v>
      </c>
      <c r="F272" s="4" t="n">
        <f aca="false">IFERROR(VALUE(SUBSTITUTE(SUBSTITUTE(SUBSTITUTE(Orders_Raw!G272,"$",""),"NGN",""),",","")),"")</f>
        <v>1554.23</v>
      </c>
      <c r="G272" s="4" t="str">
        <f aca="false">IF(F272="","No","Yes")</f>
        <v>Yes</v>
      </c>
      <c r="H272" s="4" t="str">
        <f aca="false">Orders_Raw!F272</f>
        <v>1</v>
      </c>
      <c r="I272" s="4" t="str">
        <f aca="false">IF(H272="","No",IF(H272&lt;=0,"No","Yes"))</f>
        <v>Yes</v>
      </c>
      <c r="J272" s="4" t="str">
        <f aca="false">Orders_Raw!E272</f>
        <v>Monitor</v>
      </c>
      <c r="K272" s="4" t="str">
        <f aca="false">Orders_Raw!H272</f>
        <v>2026-03-22 16:32</v>
      </c>
      <c r="L272" s="4" t="str">
        <f aca="false">IF(COUNTIF(Orders_Raw!$A$5:$A$539,A272)&gt;1,"YES","No")</f>
        <v>No</v>
      </c>
      <c r="M272" s="4" t="str">
        <f aca="false">IF(COUNTIFS($B$5:$B$539,B272,$D$5:$D$539,D272,$F$5:$F$539,F272)&gt;1,"YES","No")</f>
        <v>No</v>
      </c>
      <c r="N272" s="4" t="str">
        <f aca="false">IFERROR(INDEX(Customer_Master!$B$5:$B$64,MATCH(B272,Customer_Master!$A$5:$A$64,0)),"UNMATCHED")</f>
        <v>Ola Obi</v>
      </c>
      <c r="O272" s="4" t="str">
        <f aca="false">IFERROR(INDEX(Customer_Master!$C$5:$C$64,MATCH(B272,Customer_Master!$A$5:$A$64,0)),"UNMATCHED")</f>
        <v>Lost / Low-Value</v>
      </c>
      <c r="P272" s="4" t="str">
        <f aca="false">IFERROR(INDEX(Customer_Master!$D$5:$D$64,MATCH(B272,Customer_Master!$A$5:$A$64,0)),"UNMATCHED")</f>
        <v>Abuja</v>
      </c>
      <c r="Q272" s="4" t="str">
        <f aca="false">IF(N272="UNMATCHED","Unmatched","Matched")</f>
        <v>Matched</v>
      </c>
      <c r="R272" s="4" t="str">
        <f aca="false">IF(OR(E272="No",G272="No",I272="No",L272="YES",Q272="Unmatched"),"NEEDS REVIEW","OK")</f>
        <v>NEEDS REVIEW</v>
      </c>
    </row>
    <row r="273" customFormat="false" ht="15" hidden="false" customHeight="false" outlineLevel="0" collapsed="false">
      <c r="A273" s="4" t="str">
        <f aca="false">Orders_Raw!A273</f>
        <v>ORD00258</v>
      </c>
      <c r="B273" s="4" t="str">
        <f aca="false">TRIM(UPPER(Orders_Raw!B273))</f>
        <v>CUST0025</v>
      </c>
      <c r="C273" s="4" t="str">
        <f aca="false">PROPER(TRIM(Orders_Raw!C273))</f>
        <v>Fatima Okafor</v>
      </c>
      <c r="D273" s="6" t="n">
        <f aca="false">IFERROR(DATEVALUE(Orders_Raw!D273),"")</f>
        <v>46113</v>
      </c>
      <c r="E273" s="4" t="str">
        <f aca="false">IF(D273="","No","Yes")</f>
        <v>Yes</v>
      </c>
      <c r="F273" s="4" t="n">
        <f aca="false">IFERROR(VALUE(SUBSTITUTE(SUBSTITUTE(SUBSTITUTE(Orders_Raw!G273,"$",""),"NGN",""),",","")),"")</f>
        <v>2272.14</v>
      </c>
      <c r="G273" s="4" t="str">
        <f aca="false">IF(F273="","No","Yes")</f>
        <v>Yes</v>
      </c>
      <c r="H273" s="4" t="str">
        <f aca="false">Orders_Raw!F273</f>
        <v>2</v>
      </c>
      <c r="I273" s="4" t="str">
        <f aca="false">IF(H273="","No",IF(H273&lt;=0,"No","Yes"))</f>
        <v>Yes</v>
      </c>
      <c r="J273" s="4" t="str">
        <f aca="false">Orders_Raw!E273</f>
        <v>Speaker</v>
      </c>
      <c r="K273" s="4" t="str">
        <f aca="false">Orders_Raw!H273</f>
        <v>2026-04-01 17:39</v>
      </c>
      <c r="L273" s="4" t="str">
        <f aca="false">IF(COUNTIF(Orders_Raw!$A$5:$A$539,A273)&gt;1,"YES","No")</f>
        <v>No</v>
      </c>
      <c r="M273" s="4" t="str">
        <f aca="false">IF(COUNTIFS($B$5:$B$539,B273,$D$5:$D$539,D273,$F$5:$F$539,F273)&gt;1,"YES","No")</f>
        <v>No</v>
      </c>
      <c r="N273" s="4" t="str">
        <f aca="false">IFERROR(INDEX(Customer_Master!$B$5:$B$64,MATCH(B273,Customer_Master!$A$5:$A$64,0)),"UNMATCHED")</f>
        <v>Fatima Okafor</v>
      </c>
      <c r="O273" s="4" t="str">
        <f aca="false">IFERROR(INDEX(Customer_Master!$C$5:$C$64,MATCH(B273,Customer_Master!$A$5:$A$64,0)),"UNMATCHED")</f>
        <v>Loyal</v>
      </c>
      <c r="P273" s="4" t="str">
        <f aca="false">IFERROR(INDEX(Customer_Master!$D$5:$D$64,MATCH(B273,Customer_Master!$A$5:$A$64,0)),"UNMATCHED")</f>
        <v>Jos</v>
      </c>
      <c r="Q273" s="4" t="str">
        <f aca="false">IF(N273="UNMATCHED","Unmatched","Matched")</f>
        <v>Matched</v>
      </c>
      <c r="R273" s="4" t="str">
        <f aca="false">IF(OR(E273="No",G273="No",I273="No",L273="YES",Q273="Unmatched"),"NEEDS REVIEW","OK")</f>
        <v>OK</v>
      </c>
    </row>
    <row r="274" customFormat="false" ht="15" hidden="false" customHeight="false" outlineLevel="0" collapsed="false">
      <c r="A274" s="4" t="str">
        <f aca="false">Orders_Raw!A274</f>
        <v>ORD00379</v>
      </c>
      <c r="B274" s="4" t="str">
        <f aca="false">TRIM(UPPER(Orders_Raw!B274))</f>
        <v>CUST0013</v>
      </c>
      <c r="C274" s="4" t="str">
        <f aca="false">PROPER(TRIM(Orders_Raw!C274))</f>
        <v>Joy Lawal</v>
      </c>
      <c r="D274" s="6" t="str">
        <f aca="false">IFERROR(DATEVALUE(Orders_Raw!D274),"")</f>
        <v/>
      </c>
      <c r="E274" s="4" t="str">
        <f aca="false">IF(D274="","No","Yes")</f>
        <v>No</v>
      </c>
      <c r="F274" s="4" t="n">
        <f aca="false">IFERROR(VALUE(SUBSTITUTE(SUBSTITUTE(SUBSTITUTE(Orders_Raw!G274,"$",""),"NGN",""),",","")),"")</f>
        <v>663.85</v>
      </c>
      <c r="G274" s="4" t="str">
        <f aca="false">IF(F274="","No","Yes")</f>
        <v>Yes</v>
      </c>
      <c r="H274" s="4" t="str">
        <f aca="false">Orders_Raw!F274</f>
        <v>3</v>
      </c>
      <c r="I274" s="4" t="str">
        <f aca="false">IF(H274="","No",IF(H274&lt;=0,"No","Yes"))</f>
        <v>Yes</v>
      </c>
      <c r="J274" s="4" t="str">
        <f aca="false">Orders_Raw!E274</f>
        <v>Mouse</v>
      </c>
      <c r="K274" s="4" t="str">
        <f aca="false">Orders_Raw!H274</f>
        <v>2026-05-28 13:07</v>
      </c>
      <c r="L274" s="4" t="str">
        <f aca="false">IF(COUNTIF(Orders_Raw!$A$5:$A$539,A274)&gt;1,"YES","No")</f>
        <v>YES</v>
      </c>
      <c r="M274" s="4" t="str">
        <f aca="false">IF(COUNTIFS($B$5:$B$539,B274,$D$5:$D$539,D274,$F$5:$F$539,F274)&gt;1,"YES","No")</f>
        <v>YES</v>
      </c>
      <c r="N274" s="4" t="str">
        <f aca="false">IFERROR(INDEX(Customer_Master!$B$5:$B$64,MATCH(B274,Customer_Master!$A$5:$A$64,0)),"UNMATCHED")</f>
        <v>Joy Lawal</v>
      </c>
      <c r="O274" s="4" t="str">
        <f aca="false">IFERROR(INDEX(Customer_Master!$C$5:$C$64,MATCH(B274,Customer_Master!$A$5:$A$64,0)),"UNMATCHED")</f>
        <v>Lost / Low-Value</v>
      </c>
      <c r="P274" s="4" t="str">
        <f aca="false">IFERROR(INDEX(Customer_Master!$D$5:$D$64,MATCH(B274,Customer_Master!$A$5:$A$64,0)),"UNMATCHED")</f>
        <v>Abuja</v>
      </c>
      <c r="Q274" s="4" t="str">
        <f aca="false">IF(N274="UNMATCHED","Unmatched","Matched")</f>
        <v>Matched</v>
      </c>
      <c r="R274" s="4" t="str">
        <f aca="false">IF(OR(E274="No",G274="No",I274="No",L274="YES",Q274="Unmatched"),"NEEDS REVIEW","OK")</f>
        <v>NEEDS REVIEW</v>
      </c>
    </row>
    <row r="275" customFormat="false" ht="15" hidden="false" customHeight="false" outlineLevel="0" collapsed="false">
      <c r="A275" s="4" t="str">
        <f aca="false">Orders_Raw!A275</f>
        <v>ORD00181</v>
      </c>
      <c r="B275" s="4" t="str">
        <f aca="false">TRIM(UPPER(Orders_Raw!B275))</f>
        <v>CUST0014</v>
      </c>
      <c r="C275" s="4" t="str">
        <f aca="false">PROPER(TRIM(Orders_Raw!C275))</f>
        <v>Joy Eze</v>
      </c>
      <c r="D275" s="6" t="str">
        <f aca="false">IFERROR(DATEVALUE(Orders_Raw!D275),"")</f>
        <v/>
      </c>
      <c r="E275" s="4" t="str">
        <f aca="false">IF(D275="","No","Yes")</f>
        <v>No</v>
      </c>
      <c r="F275" s="4" t="n">
        <f aca="false">IFERROR(VALUE(SUBSTITUTE(SUBSTITUTE(SUBSTITUTE(Orders_Raw!G275,"$",""),"NGN",""),",","")),"")</f>
        <v>541.34</v>
      </c>
      <c r="G275" s="4" t="str">
        <f aca="false">IF(F275="","No","Yes")</f>
        <v>Yes</v>
      </c>
      <c r="H275" s="4" t="str">
        <f aca="false">Orders_Raw!F275</f>
        <v>4</v>
      </c>
      <c r="I275" s="4" t="str">
        <f aca="false">IF(H275="","No",IF(H275&lt;=0,"No","Yes"))</f>
        <v>Yes</v>
      </c>
      <c r="J275" s="4" t="str">
        <f aca="false">Orders_Raw!E275</f>
        <v>Printer</v>
      </c>
      <c r="K275" s="4" t="str">
        <f aca="false">Orders_Raw!H275</f>
        <v>2026-03-19 11:44</v>
      </c>
      <c r="L275" s="4" t="str">
        <f aca="false">IF(COUNTIF(Orders_Raw!$A$5:$A$539,A275)&gt;1,"YES","No")</f>
        <v>No</v>
      </c>
      <c r="M275" s="4" t="str">
        <f aca="false">IF(COUNTIFS($B$5:$B$539,B275,$D$5:$D$539,D275,$F$5:$F$539,F275)&gt;1,"YES","No")</f>
        <v>No</v>
      </c>
      <c r="N275" s="4" t="str">
        <f aca="false">IFERROR(INDEX(Customer_Master!$B$5:$B$64,MATCH(B275,Customer_Master!$A$5:$A$64,0)),"UNMATCHED")</f>
        <v>Joy Eze</v>
      </c>
      <c r="O275" s="4" t="str">
        <f aca="false">IFERROR(INDEX(Customer_Master!$C$5:$C$64,MATCH(B275,Customer_Master!$A$5:$A$64,0)),"UNMATCHED")</f>
        <v>New</v>
      </c>
      <c r="P275" s="4" t="str">
        <f aca="false">IFERROR(INDEX(Customer_Master!$D$5:$D$64,MATCH(B275,Customer_Master!$A$5:$A$64,0)),"UNMATCHED")</f>
        <v>Jos</v>
      </c>
      <c r="Q275" s="4" t="str">
        <f aca="false">IF(N275="UNMATCHED","Unmatched","Matched")</f>
        <v>Matched</v>
      </c>
      <c r="R275" s="4" t="str">
        <f aca="false">IF(OR(E275="No",G275="No",I275="No",L275="YES",Q275="Unmatched"),"NEEDS REVIEW","OK")</f>
        <v>NEEDS REVIEW</v>
      </c>
    </row>
    <row r="276" customFormat="false" ht="15" hidden="false" customHeight="false" outlineLevel="0" collapsed="false">
      <c r="A276" s="4" t="str">
        <f aca="false">Orders_Raw!A276</f>
        <v>ORD00165</v>
      </c>
      <c r="B276" s="4" t="str">
        <f aca="false">TRIM(UPPER(Orders_Raw!B276))</f>
        <v>CUST0060</v>
      </c>
      <c r="C276" s="4" t="str">
        <f aca="false">PROPER(TRIM(Orders_Raw!C276))</f>
        <v>James Umeh</v>
      </c>
      <c r="D276" s="6" t="str">
        <f aca="false">IFERROR(DATEVALUE(Orders_Raw!D276),"")</f>
        <v/>
      </c>
      <c r="E276" s="4" t="str">
        <f aca="false">IF(D276="","No","Yes")</f>
        <v>No</v>
      </c>
      <c r="F276" s="4" t="n">
        <f aca="false">IFERROR(VALUE(SUBSTITUTE(SUBSTITUTE(SUBSTITUTE(Orders_Raw!G276,"$",""),"NGN",""),",","")),"")</f>
        <v>1602.2</v>
      </c>
      <c r="G276" s="4" t="str">
        <f aca="false">IF(F276="","No","Yes")</f>
        <v>Yes</v>
      </c>
      <c r="H276" s="4" t="str">
        <f aca="false">Orders_Raw!F276</f>
        <v>2</v>
      </c>
      <c r="I276" s="4" t="str">
        <f aca="false">IF(H276="","No",IF(H276&lt;=0,"No","Yes"))</f>
        <v>Yes</v>
      </c>
      <c r="J276" s="4" t="str">
        <f aca="false">Orders_Raw!E276</f>
        <v>Headphones</v>
      </c>
      <c r="K276" s="4" t="str">
        <f aca="false">Orders_Raw!H276</f>
        <v>2026-06-26 15:09</v>
      </c>
      <c r="L276" s="4" t="str">
        <f aca="false">IF(COUNTIF(Orders_Raw!$A$5:$A$539,A276)&gt;1,"YES","No")</f>
        <v>No</v>
      </c>
      <c r="M276" s="4" t="str">
        <f aca="false">IF(COUNTIFS($B$5:$B$539,B276,$D$5:$D$539,D276,$F$5:$F$539,F276)&gt;1,"YES","No")</f>
        <v>No</v>
      </c>
      <c r="N276" s="4" t="str">
        <f aca="false">IFERROR(INDEX(Customer_Master!$B$5:$B$64,MATCH(B276,Customer_Master!$A$5:$A$64,0)),"UNMATCHED")</f>
        <v>James Umeh</v>
      </c>
      <c r="O276" s="4" t="str">
        <f aca="false">IFERROR(INDEX(Customer_Master!$C$5:$C$64,MATCH(B276,Customer_Master!$A$5:$A$64,0)),"UNMATCHED")</f>
        <v>Champions</v>
      </c>
      <c r="P276" s="4" t="str">
        <f aca="false">IFERROR(INDEX(Customer_Master!$D$5:$D$64,MATCH(B276,Customer_Master!$A$5:$A$64,0)),"UNMATCHED")</f>
        <v>Kano</v>
      </c>
      <c r="Q276" s="4" t="str">
        <f aca="false">IF(N276="UNMATCHED","Unmatched","Matched")</f>
        <v>Matched</v>
      </c>
      <c r="R276" s="4" t="str">
        <f aca="false">IF(OR(E276="No",G276="No",I276="No",L276="YES",Q276="Unmatched"),"NEEDS REVIEW","OK")</f>
        <v>NEEDS REVIEW</v>
      </c>
    </row>
    <row r="277" customFormat="false" ht="15" hidden="false" customHeight="false" outlineLevel="0" collapsed="false">
      <c r="A277" s="4" t="str">
        <f aca="false">Orders_Raw!A277</f>
        <v>ORD00116</v>
      </c>
      <c r="B277" s="4" t="str">
        <f aca="false">TRIM(UPPER(Orders_Raw!B277))</f>
        <v>CUST0006</v>
      </c>
      <c r="C277" s="4" t="str">
        <f aca="false">PROPER(TRIM(Orders_Raw!C277))</f>
        <v>Joy Nwosu</v>
      </c>
      <c r="D277" s="6" t="str">
        <f aca="false">IFERROR(DATEVALUE(Orders_Raw!D277),"")</f>
        <v/>
      </c>
      <c r="E277" s="4" t="str">
        <f aca="false">IF(D277="","No","Yes")</f>
        <v>No</v>
      </c>
      <c r="F277" s="4" t="n">
        <f aca="false">IFERROR(VALUE(SUBSTITUTE(SUBSTITUTE(SUBSTITUTE(Orders_Raw!G277,"$",""),"NGN",""),",","")),"")</f>
        <v>2100.35</v>
      </c>
      <c r="G277" s="4" t="str">
        <f aca="false">IF(F277="","No","Yes")</f>
        <v>Yes</v>
      </c>
      <c r="H277" s="4" t="str">
        <f aca="false">Orders_Raw!F277</f>
        <v>5</v>
      </c>
      <c r="I277" s="4" t="str">
        <f aca="false">IF(H277="","No",IF(H277&lt;=0,"No","Yes"))</f>
        <v>Yes</v>
      </c>
      <c r="J277" s="4" t="str">
        <f aca="false">Orders_Raw!E277</f>
        <v>Printer</v>
      </c>
      <c r="K277" s="4" t="str">
        <f aca="false">Orders_Raw!H277</f>
        <v>2026-03-23 10:48</v>
      </c>
      <c r="L277" s="4" t="str">
        <f aca="false">IF(COUNTIF(Orders_Raw!$A$5:$A$539,A277)&gt;1,"YES","No")</f>
        <v>No</v>
      </c>
      <c r="M277" s="4" t="str">
        <f aca="false">IF(COUNTIFS($B$5:$B$539,B277,$D$5:$D$539,D277,$F$5:$F$539,F277)&gt;1,"YES","No")</f>
        <v>No</v>
      </c>
      <c r="N277" s="4" t="str">
        <f aca="false">IFERROR(INDEX(Customer_Master!$B$5:$B$64,MATCH(B277,Customer_Master!$A$5:$A$64,0)),"UNMATCHED")</f>
        <v>Joy Nwosu</v>
      </c>
      <c r="O277" s="4" t="str">
        <f aca="false">IFERROR(INDEX(Customer_Master!$C$5:$C$64,MATCH(B277,Customer_Master!$A$5:$A$64,0)),"UNMATCHED")</f>
        <v>New</v>
      </c>
      <c r="P277" s="4" t="str">
        <f aca="false">IFERROR(INDEX(Customer_Master!$D$5:$D$64,MATCH(B277,Customer_Master!$A$5:$A$64,0)),"UNMATCHED")</f>
        <v>Enugu</v>
      </c>
      <c r="Q277" s="4" t="str">
        <f aca="false">IF(N277="UNMATCHED","Unmatched","Matched")</f>
        <v>Matched</v>
      </c>
      <c r="R277" s="4" t="str">
        <f aca="false">IF(OR(E277="No",G277="No",I277="No",L277="YES",Q277="Unmatched"),"NEEDS REVIEW","OK")</f>
        <v>NEEDS REVIEW</v>
      </c>
    </row>
    <row r="278" customFormat="false" ht="15" hidden="false" customHeight="false" outlineLevel="0" collapsed="false">
      <c r="A278" s="4" t="str">
        <f aca="false">Orders_Raw!A278</f>
        <v>ORD00457</v>
      </c>
      <c r="B278" s="4" t="str">
        <f aca="false">TRIM(UPPER(Orders_Raw!B278))</f>
        <v>CUST0011</v>
      </c>
      <c r="C278" s="4" t="str">
        <f aca="false">PROPER(TRIM(Orders_Raw!C278))</f>
        <v>Musa Lawal</v>
      </c>
      <c r="D278" s="6" t="n">
        <f aca="false">IFERROR(DATEVALUE(Orders_Raw!D278),"")</f>
        <v>46034</v>
      </c>
      <c r="E278" s="4" t="str">
        <f aca="false">IF(D278="","No","Yes")</f>
        <v>Yes</v>
      </c>
      <c r="F278" s="4" t="n">
        <f aca="false">IFERROR(VALUE(SUBSTITUTE(SUBSTITUTE(SUBSTITUTE(Orders_Raw!G278,"$",""),"NGN",""),",","")),"")</f>
        <v>2281.95</v>
      </c>
      <c r="G278" s="4" t="str">
        <f aca="false">IF(F278="","No","Yes")</f>
        <v>Yes</v>
      </c>
      <c r="H278" s="4" t="str">
        <f aca="false">Orders_Raw!F278</f>
        <v>5</v>
      </c>
      <c r="I278" s="4" t="str">
        <f aca="false">IF(H278="","No",IF(H278&lt;=0,"No","Yes"))</f>
        <v>Yes</v>
      </c>
      <c r="J278" s="4" t="str">
        <f aca="false">Orders_Raw!E278</f>
        <v>Headphones</v>
      </c>
      <c r="K278" s="4" t="str">
        <f aca="false">Orders_Raw!H278</f>
        <v>2026-01-12 10:49</v>
      </c>
      <c r="L278" s="4" t="str">
        <f aca="false">IF(COUNTIF(Orders_Raw!$A$5:$A$539,A278)&gt;1,"YES","No")</f>
        <v>No</v>
      </c>
      <c r="M278" s="4" t="str">
        <f aca="false">IF(COUNTIFS($B$5:$B$539,B278,$D$5:$D$539,D278,$F$5:$F$539,F278)&gt;1,"YES","No")</f>
        <v>No</v>
      </c>
      <c r="N278" s="4" t="str">
        <f aca="false">IFERROR(INDEX(Customer_Master!$B$5:$B$64,MATCH(B278,Customer_Master!$A$5:$A$64,0)),"UNMATCHED")</f>
        <v>Musa Lawal</v>
      </c>
      <c r="O278" s="4" t="str">
        <f aca="false">IFERROR(INDEX(Customer_Master!$C$5:$C$64,MATCH(B278,Customer_Master!$A$5:$A$64,0)),"UNMATCHED")</f>
        <v>At Risk</v>
      </c>
      <c r="P278" s="4" t="str">
        <f aca="false">IFERROR(INDEX(Customer_Master!$D$5:$D$64,MATCH(B278,Customer_Master!$A$5:$A$64,0)),"UNMATCHED")</f>
        <v>Jos</v>
      </c>
      <c r="Q278" s="4" t="str">
        <f aca="false">IF(N278="UNMATCHED","Unmatched","Matched")</f>
        <v>Matched</v>
      </c>
      <c r="R278" s="4" t="str">
        <f aca="false">IF(OR(E278="No",G278="No",I278="No",L278="YES",Q278="Unmatched"),"NEEDS REVIEW","OK")</f>
        <v>OK</v>
      </c>
    </row>
    <row r="279" customFormat="false" ht="15" hidden="false" customHeight="false" outlineLevel="0" collapsed="false">
      <c r="A279" s="4" t="str">
        <f aca="false">Orders_Raw!A279</f>
        <v>ORD00513</v>
      </c>
      <c r="B279" s="4" t="str">
        <f aca="false">TRIM(UPPER(Orders_Raw!B279))</f>
        <v>CUST0026</v>
      </c>
      <c r="C279" s="4" t="str">
        <f aca="false">PROPER(TRIM(Orders_Raw!C279))</f>
        <v>Amaka Yakubu</v>
      </c>
      <c r="D279" s="6" t="n">
        <f aca="false">IFERROR(DATEVALUE(Orders_Raw!D279),"")</f>
        <v>46161</v>
      </c>
      <c r="E279" s="4" t="str">
        <f aca="false">IF(D279="","No","Yes")</f>
        <v>Yes</v>
      </c>
      <c r="F279" s="4" t="n">
        <f aca="false">IFERROR(VALUE(SUBSTITUTE(SUBSTITUTE(SUBSTITUTE(Orders_Raw!G279,"$",""),"NGN",""),",","")),"")</f>
        <v>23.22</v>
      </c>
      <c r="G279" s="4" t="str">
        <f aca="false">IF(F279="","No","Yes")</f>
        <v>Yes</v>
      </c>
      <c r="H279" s="4" t="str">
        <f aca="false">Orders_Raw!F279</f>
        <v>1</v>
      </c>
      <c r="I279" s="4" t="str">
        <f aca="false">IF(H279="","No",IF(H279&lt;=0,"No","Yes"))</f>
        <v>Yes</v>
      </c>
      <c r="J279" s="4" t="str">
        <f aca="false">Orders_Raw!E279</f>
        <v>Keyboard</v>
      </c>
      <c r="K279" s="4" t="str">
        <f aca="false">Orders_Raw!H279</f>
        <v>2026-05-19 13:43</v>
      </c>
      <c r="L279" s="4" t="str">
        <f aca="false">IF(COUNTIF(Orders_Raw!$A$5:$A$539,A279)&gt;1,"YES","No")</f>
        <v>No</v>
      </c>
      <c r="M279" s="4" t="str">
        <f aca="false">IF(COUNTIFS($B$5:$B$539,B279,$D$5:$D$539,D279,$F$5:$F$539,F279)&gt;1,"YES","No")</f>
        <v>No</v>
      </c>
      <c r="N279" s="4" t="str">
        <f aca="false">IFERROR(INDEX(Customer_Master!$B$5:$B$64,MATCH(B279,Customer_Master!$A$5:$A$64,0)),"UNMATCHED")</f>
        <v>Amaka Yakubu</v>
      </c>
      <c r="O279" s="4" t="str">
        <f aca="false">IFERROR(INDEX(Customer_Master!$C$5:$C$64,MATCH(B279,Customer_Master!$A$5:$A$64,0)),"UNMATCHED")</f>
        <v>Lost / Low-Value</v>
      </c>
      <c r="P279" s="4" t="str">
        <f aca="false">IFERROR(INDEX(Customer_Master!$D$5:$D$64,MATCH(B279,Customer_Master!$A$5:$A$64,0)),"UNMATCHED")</f>
        <v>Kaduna</v>
      </c>
      <c r="Q279" s="4" t="str">
        <f aca="false">IF(N279="UNMATCHED","Unmatched","Matched")</f>
        <v>Matched</v>
      </c>
      <c r="R279" s="4" t="str">
        <f aca="false">IF(OR(E279="No",G279="No",I279="No",L279="YES",Q279="Unmatched"),"NEEDS REVIEW","OK")</f>
        <v>OK</v>
      </c>
    </row>
    <row r="280" customFormat="false" ht="15" hidden="false" customHeight="false" outlineLevel="0" collapsed="false">
      <c r="A280" s="4" t="str">
        <f aca="false">Orders_Raw!A280</f>
        <v>ORD00059</v>
      </c>
      <c r="B280" s="4" t="str">
        <f aca="false">TRIM(UPPER(Orders_Raw!B280))</f>
        <v>CUST0042</v>
      </c>
      <c r="C280" s="4" t="str">
        <f aca="false">PROPER(TRIM(Orders_Raw!C280))</f>
        <v>Bisi Chukwu</v>
      </c>
      <c r="D280" s="6" t="n">
        <f aca="false">IFERROR(DATEVALUE(Orders_Raw!D280),"")</f>
        <v>46206</v>
      </c>
      <c r="E280" s="4" t="str">
        <f aca="false">IF(D280="","No","Yes")</f>
        <v>Yes</v>
      </c>
      <c r="F280" s="4" t="n">
        <f aca="false">IFERROR(VALUE(SUBSTITUTE(SUBSTITUTE(SUBSTITUTE(Orders_Raw!G280,"$",""),"NGN",""),",","")),"")</f>
        <v>1279.55</v>
      </c>
      <c r="G280" s="4" t="str">
        <f aca="false">IF(F280="","No","Yes")</f>
        <v>Yes</v>
      </c>
      <c r="H280" s="4" t="str">
        <f aca="false">Orders_Raw!F280</f>
        <v>2</v>
      </c>
      <c r="I280" s="4" t="str">
        <f aca="false">IF(H280="","No",IF(H280&lt;=0,"No","Yes"))</f>
        <v>Yes</v>
      </c>
      <c r="J280" s="4" t="str">
        <f aca="false">Orders_Raw!E280</f>
        <v>Charger</v>
      </c>
      <c r="K280" s="4" t="str">
        <f aca="false">Orders_Raw!H280</f>
        <v>2026-07-03 15:35</v>
      </c>
      <c r="L280" s="4" t="str">
        <f aca="false">IF(COUNTIF(Orders_Raw!$A$5:$A$539,A280)&gt;1,"YES","No")</f>
        <v>No</v>
      </c>
      <c r="M280" s="4" t="str">
        <f aca="false">IF(COUNTIFS($B$5:$B$539,B280,$D$5:$D$539,D280,$F$5:$F$539,F280)&gt;1,"YES","No")</f>
        <v>No</v>
      </c>
      <c r="N280" s="4" t="str">
        <f aca="false">IFERROR(INDEX(Customer_Master!$B$5:$B$64,MATCH(B280,Customer_Master!$A$5:$A$64,0)),"UNMATCHED")</f>
        <v>Bisi Chukwu</v>
      </c>
      <c r="O280" s="4" t="str">
        <f aca="false">IFERROR(INDEX(Customer_Master!$C$5:$C$64,MATCH(B280,Customer_Master!$A$5:$A$64,0)),"UNMATCHED")</f>
        <v>At Risk</v>
      </c>
      <c r="P280" s="4" t="str">
        <f aca="false">IFERROR(INDEX(Customer_Master!$D$5:$D$64,MATCH(B280,Customer_Master!$A$5:$A$64,0)),"UNMATCHED")</f>
        <v>Kano</v>
      </c>
      <c r="Q280" s="4" t="str">
        <f aca="false">IF(N280="UNMATCHED","Unmatched","Matched")</f>
        <v>Matched</v>
      </c>
      <c r="R280" s="4" t="str">
        <f aca="false">IF(OR(E280="No",G280="No",I280="No",L280="YES",Q280="Unmatched"),"NEEDS REVIEW","OK")</f>
        <v>OK</v>
      </c>
    </row>
    <row r="281" customFormat="false" ht="15" hidden="false" customHeight="false" outlineLevel="0" collapsed="false">
      <c r="A281" s="4" t="str">
        <f aca="false">Orders_Raw!A281</f>
        <v>ORD00484</v>
      </c>
      <c r="B281" s="4" t="str">
        <f aca="false">TRIM(UPPER(Orders_Raw!B281))</f>
        <v>CUST0028</v>
      </c>
      <c r="C281" s="4" t="str">
        <f aca="false">PROPER(TRIM(Orders_Raw!C281))</f>
        <v>James Adamu</v>
      </c>
      <c r="D281" s="6" t="n">
        <f aca="false">IFERROR(DATEVALUE(Orders_Raw!D281),"")</f>
        <v>46162</v>
      </c>
      <c r="E281" s="4" t="str">
        <f aca="false">IF(D281="","No","Yes")</f>
        <v>Yes</v>
      </c>
      <c r="F281" s="4" t="n">
        <f aca="false">IFERROR(VALUE(SUBSTITUTE(SUBSTITUTE(SUBSTITUTE(Orders_Raw!G281,"$",""),"NGN",""),",","")),"")</f>
        <v>445.12</v>
      </c>
      <c r="G281" s="4" t="str">
        <f aca="false">IF(F281="","No","Yes")</f>
        <v>Yes</v>
      </c>
      <c r="H281" s="4" t="str">
        <f aca="false">Orders_Raw!F281</f>
        <v>4</v>
      </c>
      <c r="I281" s="4" t="str">
        <f aca="false">IF(H281="","No",IF(H281&lt;=0,"No","Yes"))</f>
        <v>Yes</v>
      </c>
      <c r="J281" s="4" t="str">
        <f aca="false">Orders_Raw!E281</f>
        <v>Printer</v>
      </c>
      <c r="K281" s="4" t="str">
        <f aca="false">Orders_Raw!H281</f>
        <v>2026-05-20 09:37</v>
      </c>
      <c r="L281" s="4" t="str">
        <f aca="false">IF(COUNTIF(Orders_Raw!$A$5:$A$539,A281)&gt;1,"YES","No")</f>
        <v>No</v>
      </c>
      <c r="M281" s="4" t="str">
        <f aca="false">IF(COUNTIFS($B$5:$B$539,B281,$D$5:$D$539,D281,$F$5:$F$539,F281)&gt;1,"YES","No")</f>
        <v>No</v>
      </c>
      <c r="N281" s="4" t="str">
        <f aca="false">IFERROR(INDEX(Customer_Master!$B$5:$B$64,MATCH(B281,Customer_Master!$A$5:$A$64,0)),"UNMATCHED")</f>
        <v>James Adamu</v>
      </c>
      <c r="O281" s="4" t="str">
        <f aca="false">IFERROR(INDEX(Customer_Master!$C$5:$C$64,MATCH(B281,Customer_Master!$A$5:$A$64,0)),"UNMATCHED")</f>
        <v>New</v>
      </c>
      <c r="P281" s="4" t="str">
        <f aca="false">IFERROR(INDEX(Customer_Master!$D$5:$D$64,MATCH(B281,Customer_Master!$A$5:$A$64,0)),"UNMATCHED")</f>
        <v>Ibadan</v>
      </c>
      <c r="Q281" s="4" t="str">
        <f aca="false">IF(N281="UNMATCHED","Unmatched","Matched")</f>
        <v>Matched</v>
      </c>
      <c r="R281" s="4" t="str">
        <f aca="false">IF(OR(E281="No",G281="No",I281="No",L281="YES",Q281="Unmatched"),"NEEDS REVIEW","OK")</f>
        <v>OK</v>
      </c>
    </row>
    <row r="282" customFormat="false" ht="15" hidden="false" customHeight="false" outlineLevel="0" collapsed="false">
      <c r="A282" s="4" t="str">
        <f aca="false">Orders_Raw!A282</f>
        <v>ORD00325</v>
      </c>
      <c r="B282" s="4" t="str">
        <f aca="false">TRIM(UPPER(Orders_Raw!B282))</f>
        <v>CUST0034</v>
      </c>
      <c r="C282" s="4" t="str">
        <f aca="false">PROPER(TRIM(Orders_Raw!C282))</f>
        <v>Samuel Sani</v>
      </c>
      <c r="D282" s="6" t="n">
        <f aca="false">IFERROR(DATEVALUE(Orders_Raw!D282),"")</f>
        <v>46133</v>
      </c>
      <c r="E282" s="4" t="str">
        <f aca="false">IF(D282="","No","Yes")</f>
        <v>Yes</v>
      </c>
      <c r="F282" s="4" t="n">
        <f aca="false">IFERROR(VALUE(SUBSTITUTE(SUBSTITUTE(SUBSTITUTE(Orders_Raw!G282,"$",""),"NGN",""),",","")),"")</f>
        <v>1215.09</v>
      </c>
      <c r="G282" s="4" t="str">
        <f aca="false">IF(F282="","No","Yes")</f>
        <v>Yes</v>
      </c>
      <c r="H282" s="4" t="str">
        <f aca="false">Orders_Raw!F282</f>
        <v>5</v>
      </c>
      <c r="I282" s="4" t="str">
        <f aca="false">IF(H282="","No",IF(H282&lt;=0,"No","Yes"))</f>
        <v>Yes</v>
      </c>
      <c r="J282" s="4" t="str">
        <f aca="false">Orders_Raw!E282</f>
        <v>Speaker</v>
      </c>
      <c r="K282" s="4" t="str">
        <f aca="false">Orders_Raw!H282</f>
        <v>2026-04-21 10:46</v>
      </c>
      <c r="L282" s="4" t="str">
        <f aca="false">IF(COUNTIF(Orders_Raw!$A$5:$A$539,A282)&gt;1,"YES","No")</f>
        <v>No</v>
      </c>
      <c r="M282" s="4" t="str">
        <f aca="false">IF(COUNTIFS($B$5:$B$539,B282,$D$5:$D$539,D282,$F$5:$F$539,F282)&gt;1,"YES","No")</f>
        <v>No</v>
      </c>
      <c r="N282" s="4" t="str">
        <f aca="false">IFERROR(INDEX(Customer_Master!$B$5:$B$64,MATCH(B282,Customer_Master!$A$5:$A$64,0)),"UNMATCHED")</f>
        <v>Samuel Sani</v>
      </c>
      <c r="O282" s="4" t="str">
        <f aca="false">IFERROR(INDEX(Customer_Master!$C$5:$C$64,MATCH(B282,Customer_Master!$A$5:$A$64,0)),"UNMATCHED")</f>
        <v>New</v>
      </c>
      <c r="P282" s="4" t="str">
        <f aca="false">IFERROR(INDEX(Customer_Master!$D$5:$D$64,MATCH(B282,Customer_Master!$A$5:$A$64,0)),"UNMATCHED")</f>
        <v>Lagos</v>
      </c>
      <c r="Q282" s="4" t="str">
        <f aca="false">IF(N282="UNMATCHED","Unmatched","Matched")</f>
        <v>Matched</v>
      </c>
      <c r="R282" s="4" t="str">
        <f aca="false">IF(OR(E282="No",G282="No",I282="No",L282="YES",Q282="Unmatched"),"NEEDS REVIEW","OK")</f>
        <v>OK</v>
      </c>
    </row>
    <row r="283" customFormat="false" ht="15" hidden="false" customHeight="false" outlineLevel="0" collapsed="false">
      <c r="A283" s="4" t="str">
        <f aca="false">Orders_Raw!A283</f>
        <v>ORD00298</v>
      </c>
      <c r="B283" s="4" t="str">
        <f aca="false">TRIM(UPPER(Orders_Raw!B283))</f>
        <v>CUST0015</v>
      </c>
      <c r="C283" s="4" t="str">
        <f aca="false">PROPER(TRIM(Orders_Raw!C283))</f>
        <v>Ahmed Nwosu</v>
      </c>
      <c r="D283" s="6" t="n">
        <f aca="false">IFERROR(DATEVALUE(Orders_Raw!D283),"")</f>
        <v>46130</v>
      </c>
      <c r="E283" s="4" t="str">
        <f aca="false">IF(D283="","No","Yes")</f>
        <v>Yes</v>
      </c>
      <c r="F283" s="4" t="n">
        <f aca="false">IFERROR(VALUE(SUBSTITUTE(SUBSTITUTE(SUBSTITUTE(Orders_Raw!G283,"$",""),"NGN",""),",","")),"")</f>
        <v>938.63</v>
      </c>
      <c r="G283" s="4" t="str">
        <f aca="false">IF(F283="","No","Yes")</f>
        <v>Yes</v>
      </c>
      <c r="H283" s="4" t="str">
        <f aca="false">Orders_Raw!F283</f>
        <v>2</v>
      </c>
      <c r="I283" s="4" t="str">
        <f aca="false">IF(H283="","No",IF(H283&lt;=0,"No","Yes"))</f>
        <v>Yes</v>
      </c>
      <c r="J283" s="4" t="str">
        <f aca="false">Orders_Raw!E283</f>
        <v>Laptop</v>
      </c>
      <c r="K283" s="4" t="str">
        <f aca="false">Orders_Raw!H283</f>
        <v>2026-04-18 18:37</v>
      </c>
      <c r="L283" s="4" t="str">
        <f aca="false">IF(COUNTIF(Orders_Raw!$A$5:$A$539,A283)&gt;1,"YES","No")</f>
        <v>No</v>
      </c>
      <c r="M283" s="4" t="str">
        <f aca="false">IF(COUNTIFS($B$5:$B$539,B283,$D$5:$D$539,D283,$F$5:$F$539,F283)&gt;1,"YES","No")</f>
        <v>No</v>
      </c>
      <c r="N283" s="4" t="str">
        <f aca="false">IFERROR(INDEX(Customer_Master!$B$5:$B$64,MATCH(B283,Customer_Master!$A$5:$A$64,0)),"UNMATCHED")</f>
        <v>Ahmed Nwosu</v>
      </c>
      <c r="O283" s="4" t="str">
        <f aca="false">IFERROR(INDEX(Customer_Master!$C$5:$C$64,MATCH(B283,Customer_Master!$A$5:$A$64,0)),"UNMATCHED")</f>
        <v>Champions</v>
      </c>
      <c r="P283" s="4" t="str">
        <f aca="false">IFERROR(INDEX(Customer_Master!$D$5:$D$64,MATCH(B283,Customer_Master!$A$5:$A$64,0)),"UNMATCHED")</f>
        <v>Lagos</v>
      </c>
      <c r="Q283" s="4" t="str">
        <f aca="false">IF(N283="UNMATCHED","Unmatched","Matched")</f>
        <v>Matched</v>
      </c>
      <c r="R283" s="4" t="str">
        <f aca="false">IF(OR(E283="No",G283="No",I283="No",L283="YES",Q283="Unmatched"),"NEEDS REVIEW","OK")</f>
        <v>OK</v>
      </c>
    </row>
    <row r="284" customFormat="false" ht="15" hidden="false" customHeight="false" outlineLevel="0" collapsed="false">
      <c r="A284" s="4" t="str">
        <f aca="false">Orders_Raw!A284</f>
        <v>ORD00405</v>
      </c>
      <c r="B284" s="4" t="str">
        <f aca="false">TRIM(UPPER(Orders_Raw!B284))</f>
        <v>CUST0019</v>
      </c>
      <c r="C284" s="4" t="str">
        <f aca="false">PROPER(TRIM(Orders_Raw!C284))</f>
        <v>Ifeoma Chukwu</v>
      </c>
      <c r="D284" s="6" t="n">
        <f aca="false">IFERROR(DATEVALUE(Orders_Raw!D284),"")</f>
        <v>46298</v>
      </c>
      <c r="E284" s="4" t="str">
        <f aca="false">IF(D284="","No","Yes")</f>
        <v>Yes</v>
      </c>
      <c r="F284" s="4" t="n">
        <f aca="false">IFERROR(VALUE(SUBSTITUTE(SUBSTITUTE(SUBSTITUTE(Orders_Raw!G284,"$",""),"NGN",""),",","")),"")</f>
        <v>482.18</v>
      </c>
      <c r="G284" s="4" t="str">
        <f aca="false">IF(F284="","No","Yes")</f>
        <v>Yes</v>
      </c>
      <c r="H284" s="4" t="str">
        <f aca="false">Orders_Raw!F284</f>
        <v>1</v>
      </c>
      <c r="I284" s="4" t="str">
        <f aca="false">IF(H284="","No",IF(H284&lt;=0,"No","Yes"))</f>
        <v>Yes</v>
      </c>
      <c r="J284" s="4" t="str">
        <f aca="false">Orders_Raw!E284</f>
        <v>Printer</v>
      </c>
      <c r="K284" s="4" t="str">
        <f aca="false">Orders_Raw!H284</f>
        <v>2026-03-10 17:28</v>
      </c>
      <c r="L284" s="4" t="str">
        <f aca="false">IF(COUNTIF(Orders_Raw!$A$5:$A$539,A284)&gt;1,"YES","No")</f>
        <v>No</v>
      </c>
      <c r="M284" s="4" t="str">
        <f aca="false">IF(COUNTIFS($B$5:$B$539,B284,$D$5:$D$539,D284,$F$5:$F$539,F284)&gt;1,"YES","No")</f>
        <v>No</v>
      </c>
      <c r="N284" s="4" t="str">
        <f aca="false">IFERROR(INDEX(Customer_Master!$B$5:$B$64,MATCH(B284,Customer_Master!$A$5:$A$64,0)),"UNMATCHED")</f>
        <v>Ifeoma Chukwu</v>
      </c>
      <c r="O284" s="4" t="str">
        <f aca="false">IFERROR(INDEX(Customer_Master!$C$5:$C$64,MATCH(B284,Customer_Master!$A$5:$A$64,0)),"UNMATCHED")</f>
        <v>Loyal</v>
      </c>
      <c r="P284" s="4" t="str">
        <f aca="false">IFERROR(INDEX(Customer_Master!$D$5:$D$64,MATCH(B284,Customer_Master!$A$5:$A$64,0)),"UNMATCHED")</f>
        <v>Ibadan</v>
      </c>
      <c r="Q284" s="4" t="str">
        <f aca="false">IF(N284="UNMATCHED","Unmatched","Matched")</f>
        <v>Matched</v>
      </c>
      <c r="R284" s="4" t="str">
        <f aca="false">IF(OR(E284="No",G284="No",I284="No",L284="YES",Q284="Unmatched"),"NEEDS REVIEW","OK")</f>
        <v>OK</v>
      </c>
    </row>
    <row r="285" customFormat="false" ht="15" hidden="false" customHeight="false" outlineLevel="0" collapsed="false">
      <c r="A285" s="4" t="str">
        <f aca="false">Orders_Raw!A285</f>
        <v>ORD00105</v>
      </c>
      <c r="B285" s="4" t="str">
        <f aca="false">TRIM(UPPER(Orders_Raw!B285))</f>
        <v>CUST0052</v>
      </c>
      <c r="C285" s="4" t="str">
        <f aca="false">PROPER(TRIM(Orders_Raw!C285))</f>
        <v>Mary Adeyemi</v>
      </c>
      <c r="D285" s="6" t="n">
        <f aca="false">IFERROR(DATEVALUE(Orders_Raw!D285),"")</f>
        <v>46105</v>
      </c>
      <c r="E285" s="4" t="str">
        <f aca="false">IF(D285="","No","Yes")</f>
        <v>Yes</v>
      </c>
      <c r="F285" s="4" t="n">
        <f aca="false">IFERROR(VALUE(SUBSTITUTE(SUBSTITUTE(SUBSTITUTE(Orders_Raw!G285,"$",""),"NGN",""),",","")),"")</f>
        <v>1196.94</v>
      </c>
      <c r="G285" s="4" t="str">
        <f aca="false">IF(F285="","No","Yes")</f>
        <v>Yes</v>
      </c>
      <c r="H285" s="4" t="str">
        <f aca="false">Orders_Raw!F285</f>
        <v>1</v>
      </c>
      <c r="I285" s="4" t="str">
        <f aca="false">IF(H285="","No",IF(H285&lt;=0,"No","Yes"))</f>
        <v>Yes</v>
      </c>
      <c r="J285" s="4" t="str">
        <f aca="false">Orders_Raw!E285</f>
        <v>Keyboard</v>
      </c>
      <c r="K285" s="4" t="str">
        <f aca="false">Orders_Raw!H285</f>
        <v>2026-03-24 09:32</v>
      </c>
      <c r="L285" s="4" t="str">
        <f aca="false">IF(COUNTIF(Orders_Raw!$A$5:$A$539,A285)&gt;1,"YES","No")</f>
        <v>No</v>
      </c>
      <c r="M285" s="4" t="str">
        <f aca="false">IF(COUNTIFS($B$5:$B$539,B285,$D$5:$D$539,D285,$F$5:$F$539,F285)&gt;1,"YES","No")</f>
        <v>No</v>
      </c>
      <c r="N285" s="4" t="str">
        <f aca="false">IFERROR(INDEX(Customer_Master!$B$5:$B$64,MATCH(B285,Customer_Master!$A$5:$A$64,0)),"UNMATCHED")</f>
        <v>Mary Adeyemi</v>
      </c>
      <c r="O285" s="4" t="str">
        <f aca="false">IFERROR(INDEX(Customer_Master!$C$5:$C$64,MATCH(B285,Customer_Master!$A$5:$A$64,0)),"UNMATCHED")</f>
        <v>Loyal</v>
      </c>
      <c r="P285" s="4" t="str">
        <f aca="false">IFERROR(INDEX(Customer_Master!$D$5:$D$64,MATCH(B285,Customer_Master!$A$5:$A$64,0)),"UNMATCHED")</f>
        <v>Abuja</v>
      </c>
      <c r="Q285" s="4" t="str">
        <f aca="false">IF(N285="UNMATCHED","Unmatched","Matched")</f>
        <v>Matched</v>
      </c>
      <c r="R285" s="4" t="str">
        <f aca="false">IF(OR(E285="No",G285="No",I285="No",L285="YES",Q285="Unmatched"),"NEEDS REVIEW","OK")</f>
        <v>OK</v>
      </c>
    </row>
    <row r="286" customFormat="false" ht="15" hidden="false" customHeight="false" outlineLevel="0" collapsed="false">
      <c r="A286" s="4" t="str">
        <f aca="false">Orders_Raw!A286</f>
        <v>ORD00035</v>
      </c>
      <c r="B286" s="4" t="str">
        <f aca="false">TRIM(UPPER(Orders_Raw!B286))</f>
        <v>CUST0039</v>
      </c>
      <c r="C286" s="4" t="str">
        <f aca="false">PROPER(TRIM(Orders_Raw!C286))</f>
        <v>Samuel Lawal</v>
      </c>
      <c r="D286" s="6" t="n">
        <f aca="false">IFERROR(DATEVALUE(Orders_Raw!D286),"")</f>
        <v>46222</v>
      </c>
      <c r="E286" s="4" t="str">
        <f aca="false">IF(D286="","No","Yes")</f>
        <v>Yes</v>
      </c>
      <c r="F286" s="4" t="n">
        <f aca="false">IFERROR(VALUE(SUBSTITUTE(SUBSTITUTE(SUBSTITUTE(Orders_Raw!G286,"$",""),"NGN",""),",","")),"")</f>
        <v>2412.33</v>
      </c>
      <c r="G286" s="4" t="str">
        <f aca="false">IF(F286="","No","Yes")</f>
        <v>Yes</v>
      </c>
      <c r="H286" s="4" t="n">
        <f aca="false">Orders_Raw!F286</f>
        <v>0</v>
      </c>
      <c r="I286" s="4" t="str">
        <f aca="false">IF(H286="","No",IF(H286&lt;=0,"No","Yes"))</f>
        <v>No</v>
      </c>
      <c r="J286" s="4" t="str">
        <f aca="false">Orders_Raw!E286</f>
        <v>Mouse</v>
      </c>
      <c r="K286" s="4" t="str">
        <f aca="false">Orders_Raw!H286</f>
        <v>2026-07-19 17:43</v>
      </c>
      <c r="L286" s="4" t="str">
        <f aca="false">IF(COUNTIF(Orders_Raw!$A$5:$A$539,A286)&gt;1,"YES","No")</f>
        <v>No</v>
      </c>
      <c r="M286" s="4" t="str">
        <f aca="false">IF(COUNTIFS($B$5:$B$539,B286,$D$5:$D$539,D286,$F$5:$F$539,F286)&gt;1,"YES","No")</f>
        <v>No</v>
      </c>
      <c r="N286" s="4" t="str">
        <f aca="false">IFERROR(INDEX(Customer_Master!$B$5:$B$64,MATCH(B286,Customer_Master!$A$5:$A$64,0)),"UNMATCHED")</f>
        <v>Samuel Lawal</v>
      </c>
      <c r="O286" s="4" t="str">
        <f aca="false">IFERROR(INDEX(Customer_Master!$C$5:$C$64,MATCH(B286,Customer_Master!$A$5:$A$64,0)),"UNMATCHED")</f>
        <v>At Risk</v>
      </c>
      <c r="P286" s="4" t="str">
        <f aca="false">IFERROR(INDEX(Customer_Master!$D$5:$D$64,MATCH(B286,Customer_Master!$A$5:$A$64,0)),"UNMATCHED")</f>
        <v>Kano</v>
      </c>
      <c r="Q286" s="4" t="str">
        <f aca="false">IF(N286="UNMATCHED","Unmatched","Matched")</f>
        <v>Matched</v>
      </c>
      <c r="R286" s="4" t="str">
        <f aca="false">IF(OR(E286="No",G286="No",I286="No",L286="YES",Q286="Unmatched"),"NEEDS REVIEW","OK")</f>
        <v>NEEDS REVIEW</v>
      </c>
    </row>
    <row r="287" customFormat="false" ht="15" hidden="false" customHeight="false" outlineLevel="0" collapsed="false">
      <c r="A287" s="4" t="str">
        <f aca="false">Orders_Raw!A287</f>
        <v>ORD00090</v>
      </c>
      <c r="B287" s="4" t="str">
        <f aca="false">TRIM(UPPER(Orders_Raw!B287))</f>
        <v>CUST0043</v>
      </c>
      <c r="C287" s="4" t="str">
        <f aca="false">PROPER(TRIM(Orders_Raw!C287))</f>
        <v>Grace Ajayi</v>
      </c>
      <c r="D287" s="6" t="str">
        <f aca="false">IFERROR(DATEVALUE(Orders_Raw!D287),"")</f>
        <v/>
      </c>
      <c r="E287" s="4" t="str">
        <f aca="false">IF(D287="","No","Yes")</f>
        <v>No</v>
      </c>
      <c r="F287" s="4" t="n">
        <f aca="false">IFERROR(VALUE(SUBSTITUTE(SUBSTITUTE(SUBSTITUTE(Orders_Raw!G287,"$",""),"NGN",""),",","")),"")</f>
        <v>2172.21</v>
      </c>
      <c r="G287" s="4" t="str">
        <f aca="false">IF(F287="","No","Yes")</f>
        <v>Yes</v>
      </c>
      <c r="H287" s="4" t="str">
        <f aca="false">Orders_Raw!F287</f>
        <v>2</v>
      </c>
      <c r="I287" s="4" t="str">
        <f aca="false">IF(H287="","No",IF(H287&lt;=0,"No","Yes"))</f>
        <v>Yes</v>
      </c>
      <c r="J287" s="4" t="str">
        <f aca="false">Orders_Raw!E287</f>
        <v>Speaker</v>
      </c>
      <c r="K287" s="4" t="str">
        <f aca="false">Orders_Raw!H287</f>
        <v>2026-06-20 16:13</v>
      </c>
      <c r="L287" s="4" t="str">
        <f aca="false">IF(COUNTIF(Orders_Raw!$A$5:$A$539,A287)&gt;1,"YES","No")</f>
        <v>No</v>
      </c>
      <c r="M287" s="4" t="str">
        <f aca="false">IF(COUNTIFS($B$5:$B$539,B287,$D$5:$D$539,D287,$F$5:$F$539,F287)&gt;1,"YES","No")</f>
        <v>No</v>
      </c>
      <c r="N287" s="4" t="str">
        <f aca="false">IFERROR(INDEX(Customer_Master!$B$5:$B$64,MATCH(B287,Customer_Master!$A$5:$A$64,0)),"UNMATCHED")</f>
        <v>Grace Ajayi</v>
      </c>
      <c r="O287" s="4" t="str">
        <f aca="false">IFERROR(INDEX(Customer_Master!$C$5:$C$64,MATCH(B287,Customer_Master!$A$5:$A$64,0)),"UNMATCHED")</f>
        <v>New</v>
      </c>
      <c r="P287" s="4" t="str">
        <f aca="false">IFERROR(INDEX(Customer_Master!$D$5:$D$64,MATCH(B287,Customer_Master!$A$5:$A$64,0)),"UNMATCHED")</f>
        <v>Abuja</v>
      </c>
      <c r="Q287" s="4" t="str">
        <f aca="false">IF(N287="UNMATCHED","Unmatched","Matched")</f>
        <v>Matched</v>
      </c>
      <c r="R287" s="4" t="str">
        <f aca="false">IF(OR(E287="No",G287="No",I287="No",L287="YES",Q287="Unmatched"),"NEEDS REVIEW","OK")</f>
        <v>NEEDS REVIEW</v>
      </c>
    </row>
    <row r="288" customFormat="false" ht="15" hidden="false" customHeight="false" outlineLevel="0" collapsed="false">
      <c r="A288" s="4" t="str">
        <f aca="false">Orders_Raw!A288</f>
        <v>ORD00285</v>
      </c>
      <c r="B288" s="4" t="str">
        <f aca="false">TRIM(UPPER(Orders_Raw!B288))</f>
        <v>CUST0031</v>
      </c>
      <c r="C288" s="4" t="str">
        <f aca="false">PROPER(TRIM(Orders_Raw!C288))</f>
        <v>Emeka Adeyemi</v>
      </c>
      <c r="D288" s="6" t="n">
        <f aca="false">IFERROR(DATEVALUE(Orders_Raw!D288),"")</f>
        <v>46028</v>
      </c>
      <c r="E288" s="4" t="str">
        <f aca="false">IF(D288="","No","Yes")</f>
        <v>Yes</v>
      </c>
      <c r="F288" s="4" t="n">
        <f aca="false">IFERROR(VALUE(SUBSTITUTE(SUBSTITUTE(SUBSTITUTE(Orders_Raw!G288,"$",""),"NGN",""),",","")),"")</f>
        <v>2046.2</v>
      </c>
      <c r="G288" s="4" t="str">
        <f aca="false">IF(F288="","No","Yes")</f>
        <v>Yes</v>
      </c>
      <c r="H288" s="4" t="str">
        <f aca="false">Orders_Raw!F288</f>
        <v>2</v>
      </c>
      <c r="I288" s="4" t="str">
        <f aca="false">IF(H288="","No",IF(H288&lt;=0,"No","Yes"))</f>
        <v>Yes</v>
      </c>
      <c r="J288" s="4" t="str">
        <f aca="false">Orders_Raw!E288</f>
        <v>Phone</v>
      </c>
      <c r="K288" s="4" t="str">
        <f aca="false">Orders_Raw!H288</f>
        <v>2026-01-06 11:08</v>
      </c>
      <c r="L288" s="4" t="str">
        <f aca="false">IF(COUNTIF(Orders_Raw!$A$5:$A$539,A288)&gt;1,"YES","No")</f>
        <v>No</v>
      </c>
      <c r="M288" s="4" t="str">
        <f aca="false">IF(COUNTIFS($B$5:$B$539,B288,$D$5:$D$539,D288,$F$5:$F$539,F288)&gt;1,"YES","No")</f>
        <v>No</v>
      </c>
      <c r="N288" s="4" t="str">
        <f aca="false">IFERROR(INDEX(Customer_Master!$B$5:$B$64,MATCH(B288,Customer_Master!$A$5:$A$64,0)),"UNMATCHED")</f>
        <v>Emeka Adeyemi</v>
      </c>
      <c r="O288" s="4" t="str">
        <f aca="false">IFERROR(INDEX(Customer_Master!$C$5:$C$64,MATCH(B288,Customer_Master!$A$5:$A$64,0)),"UNMATCHED")</f>
        <v>Champions</v>
      </c>
      <c r="P288" s="4" t="str">
        <f aca="false">IFERROR(INDEX(Customer_Master!$D$5:$D$64,MATCH(B288,Customer_Master!$A$5:$A$64,0)),"UNMATCHED")</f>
        <v>Port Harcourt</v>
      </c>
      <c r="Q288" s="4" t="str">
        <f aca="false">IF(N288="UNMATCHED","Unmatched","Matched")</f>
        <v>Matched</v>
      </c>
      <c r="R288" s="4" t="str">
        <f aca="false">IF(OR(E288="No",G288="No",I288="No",L288="YES",Q288="Unmatched"),"NEEDS REVIEW","OK")</f>
        <v>OK</v>
      </c>
    </row>
    <row r="289" customFormat="false" ht="15" hidden="false" customHeight="false" outlineLevel="0" collapsed="false">
      <c r="A289" s="4" t="str">
        <f aca="false">Orders_Raw!A289</f>
        <v>ORD00288</v>
      </c>
      <c r="B289" s="4" t="str">
        <f aca="false">TRIM(UPPER(Orders_Raw!B289))</f>
        <v>CUST0012</v>
      </c>
      <c r="C289" s="4" t="str">
        <f aca="false">PROPER(TRIM(Orders_Raw!C289))</f>
        <v>Kemi Sani</v>
      </c>
      <c r="D289" s="6" t="n">
        <f aca="false">IFERROR(DATEVALUE(Orders_Raw!D289),"")</f>
        <v>46037</v>
      </c>
      <c r="E289" s="4" t="str">
        <f aca="false">IF(D289="","No","Yes")</f>
        <v>Yes</v>
      </c>
      <c r="F289" s="4" t="n">
        <f aca="false">IFERROR(VALUE(SUBSTITUTE(SUBSTITUTE(SUBSTITUTE(Orders_Raw!G289,"$",""),"NGN",""),",","")),"")</f>
        <v>97.18</v>
      </c>
      <c r="G289" s="4" t="str">
        <f aca="false">IF(F289="","No","Yes")</f>
        <v>Yes</v>
      </c>
      <c r="H289" s="4" t="str">
        <f aca="false">Orders_Raw!F289</f>
        <v>2</v>
      </c>
      <c r="I289" s="4" t="str">
        <f aca="false">IF(H289="","No",IF(H289&lt;=0,"No","Yes"))</f>
        <v>Yes</v>
      </c>
      <c r="J289" s="4" t="str">
        <f aca="false">Orders_Raw!E289</f>
        <v>Printer</v>
      </c>
      <c r="K289" s="4" t="str">
        <f aca="false">Orders_Raw!H289</f>
        <v>2026-01-15 16:25</v>
      </c>
      <c r="L289" s="4" t="str">
        <f aca="false">IF(COUNTIF(Orders_Raw!$A$5:$A$539,A289)&gt;1,"YES","No")</f>
        <v>No</v>
      </c>
      <c r="M289" s="4" t="str">
        <f aca="false">IF(COUNTIFS($B$5:$B$539,B289,$D$5:$D$539,D289,$F$5:$F$539,F289)&gt;1,"YES","No")</f>
        <v>No</v>
      </c>
      <c r="N289" s="4" t="str">
        <f aca="false">IFERROR(INDEX(Customer_Master!$B$5:$B$64,MATCH(B289,Customer_Master!$A$5:$A$64,0)),"UNMATCHED")</f>
        <v>Kemi Sani</v>
      </c>
      <c r="O289" s="4" t="str">
        <f aca="false">IFERROR(INDEX(Customer_Master!$C$5:$C$64,MATCH(B289,Customer_Master!$A$5:$A$64,0)),"UNMATCHED")</f>
        <v>Champions</v>
      </c>
      <c r="P289" s="4" t="str">
        <f aca="false">IFERROR(INDEX(Customer_Master!$D$5:$D$64,MATCH(B289,Customer_Master!$A$5:$A$64,0)),"UNMATCHED")</f>
        <v>Kaduna</v>
      </c>
      <c r="Q289" s="4" t="str">
        <f aca="false">IF(N289="UNMATCHED","Unmatched","Matched")</f>
        <v>Matched</v>
      </c>
      <c r="R289" s="4" t="str">
        <f aca="false">IF(OR(E289="No",G289="No",I289="No",L289="YES",Q289="Unmatched"),"NEEDS REVIEW","OK")</f>
        <v>OK</v>
      </c>
    </row>
    <row r="290" customFormat="false" ht="15" hidden="false" customHeight="false" outlineLevel="0" collapsed="false">
      <c r="A290" s="4" t="str">
        <f aca="false">Orders_Raw!A290</f>
        <v>ORD00345</v>
      </c>
      <c r="B290" s="4" t="str">
        <f aca="false">TRIM(UPPER(Orders_Raw!B290))</f>
        <v>CUST0042</v>
      </c>
      <c r="C290" s="4" t="str">
        <f aca="false">PROPER(TRIM(Orders_Raw!C290))</f>
        <v>Bisi Chukwu</v>
      </c>
      <c r="D290" s="6" t="n">
        <f aca="false">IFERROR(DATEVALUE(Orders_Raw!D290),"")</f>
        <v>46216</v>
      </c>
      <c r="E290" s="4" t="str">
        <f aca="false">IF(D290="","No","Yes")</f>
        <v>Yes</v>
      </c>
      <c r="F290" s="4" t="n">
        <f aca="false">IFERROR(VALUE(SUBSTITUTE(SUBSTITUTE(SUBSTITUTE(Orders_Raw!G290,"$",""),"NGN",""),",","")),"")</f>
        <v>128.11</v>
      </c>
      <c r="G290" s="4" t="str">
        <f aca="false">IF(F290="","No","Yes")</f>
        <v>Yes</v>
      </c>
      <c r="H290" s="4" t="str">
        <f aca="false">Orders_Raw!F290</f>
        <v>2</v>
      </c>
      <c r="I290" s="4" t="str">
        <f aca="false">IF(H290="","No",IF(H290&lt;=0,"No","Yes"))</f>
        <v>Yes</v>
      </c>
      <c r="J290" s="4" t="str">
        <f aca="false">Orders_Raw!E290</f>
        <v>Mouse</v>
      </c>
      <c r="K290" s="4" t="str">
        <f aca="false">Orders_Raw!H290</f>
        <v>2026-07-13 17:05</v>
      </c>
      <c r="L290" s="4" t="str">
        <f aca="false">IF(COUNTIF(Orders_Raw!$A$5:$A$539,A290)&gt;1,"YES","No")</f>
        <v>No</v>
      </c>
      <c r="M290" s="4" t="str">
        <f aca="false">IF(COUNTIFS($B$5:$B$539,B290,$D$5:$D$539,D290,$F$5:$F$539,F290)&gt;1,"YES","No")</f>
        <v>No</v>
      </c>
      <c r="N290" s="4" t="str">
        <f aca="false">IFERROR(INDEX(Customer_Master!$B$5:$B$64,MATCH(B290,Customer_Master!$A$5:$A$64,0)),"UNMATCHED")</f>
        <v>Bisi Chukwu</v>
      </c>
      <c r="O290" s="4" t="str">
        <f aca="false">IFERROR(INDEX(Customer_Master!$C$5:$C$64,MATCH(B290,Customer_Master!$A$5:$A$64,0)),"UNMATCHED")</f>
        <v>At Risk</v>
      </c>
      <c r="P290" s="4" t="str">
        <f aca="false">IFERROR(INDEX(Customer_Master!$D$5:$D$64,MATCH(B290,Customer_Master!$A$5:$A$64,0)),"UNMATCHED")</f>
        <v>Kano</v>
      </c>
      <c r="Q290" s="4" t="str">
        <f aca="false">IF(N290="UNMATCHED","Unmatched","Matched")</f>
        <v>Matched</v>
      </c>
      <c r="R290" s="4" t="str">
        <f aca="false">IF(OR(E290="No",G290="No",I290="No",L290="YES",Q290="Unmatched"),"NEEDS REVIEW","OK")</f>
        <v>OK</v>
      </c>
    </row>
    <row r="291" customFormat="false" ht="15" hidden="false" customHeight="false" outlineLevel="0" collapsed="false">
      <c r="A291" s="4" t="str">
        <f aca="false">Orders_Raw!A291</f>
        <v>ORD00428</v>
      </c>
      <c r="B291" s="4" t="str">
        <f aca="false">TRIM(UPPER(Orders_Raw!B291))</f>
        <v>CUST0024</v>
      </c>
      <c r="C291" s="4" t="str">
        <f aca="false">PROPER(TRIM(Orders_Raw!C291))</f>
        <v>Aisha Adeyemi</v>
      </c>
      <c r="D291" s="6" t="n">
        <f aca="false">IFERROR(DATEVALUE(Orders_Raw!D291),"")</f>
        <v>46082</v>
      </c>
      <c r="E291" s="4" t="str">
        <f aca="false">IF(D291="","No","Yes")</f>
        <v>Yes</v>
      </c>
      <c r="F291" s="4" t="n">
        <f aca="false">IFERROR(VALUE(SUBSTITUTE(SUBSTITUTE(SUBSTITUTE(Orders_Raw!G291,"$",""),"NGN",""),",","")),"")</f>
        <v>2030.52</v>
      </c>
      <c r="G291" s="4" t="str">
        <f aca="false">IF(F291="","No","Yes")</f>
        <v>Yes</v>
      </c>
      <c r="H291" s="4" t="str">
        <f aca="false">Orders_Raw!F291</f>
        <v>3</v>
      </c>
      <c r="I291" s="4" t="str">
        <f aca="false">IF(H291="","No",IF(H291&lt;=0,"No","Yes"))</f>
        <v>Yes</v>
      </c>
      <c r="J291" s="4" t="str">
        <f aca="false">Orders_Raw!E291</f>
        <v>Phone</v>
      </c>
      <c r="K291" s="4" t="str">
        <f aca="false">Orders_Raw!H291</f>
        <v>2026-03-01 13:50</v>
      </c>
      <c r="L291" s="4" t="str">
        <f aca="false">IF(COUNTIF(Orders_Raw!$A$5:$A$539,A291)&gt;1,"YES","No")</f>
        <v>No</v>
      </c>
      <c r="M291" s="4" t="str">
        <f aca="false">IF(COUNTIFS($B$5:$B$539,B291,$D$5:$D$539,D291,$F$5:$F$539,F291)&gt;1,"YES","No")</f>
        <v>No</v>
      </c>
      <c r="N291" s="4" t="str">
        <f aca="false">IFERROR(INDEX(Customer_Master!$B$5:$B$64,MATCH(B291,Customer_Master!$A$5:$A$64,0)),"UNMATCHED")</f>
        <v>Aisha Adeyemi</v>
      </c>
      <c r="O291" s="4" t="str">
        <f aca="false">IFERROR(INDEX(Customer_Master!$C$5:$C$64,MATCH(B291,Customer_Master!$A$5:$A$64,0)),"UNMATCHED")</f>
        <v>At Risk</v>
      </c>
      <c r="P291" s="4" t="str">
        <f aca="false">IFERROR(INDEX(Customer_Master!$D$5:$D$64,MATCH(B291,Customer_Master!$A$5:$A$64,0)),"UNMATCHED")</f>
        <v>Enugu</v>
      </c>
      <c r="Q291" s="4" t="str">
        <f aca="false">IF(N291="UNMATCHED","Unmatched","Matched")</f>
        <v>Matched</v>
      </c>
      <c r="R291" s="4" t="str">
        <f aca="false">IF(OR(E291="No",G291="No",I291="No",L291="YES",Q291="Unmatched"),"NEEDS REVIEW","OK")</f>
        <v>OK</v>
      </c>
    </row>
    <row r="292" customFormat="false" ht="15" hidden="false" customHeight="false" outlineLevel="0" collapsed="false">
      <c r="A292" s="4" t="str">
        <f aca="false">Orders_Raw!A292</f>
        <v>ORD00188</v>
      </c>
      <c r="B292" s="4" t="str">
        <f aca="false">TRIM(UPPER(Orders_Raw!B292))</f>
        <v>CUST0002</v>
      </c>
      <c r="C292" s="4" t="str">
        <f aca="false">PROPER(TRIM(Orders_Raw!C292))</f>
        <v>Tunde Ajayi</v>
      </c>
      <c r="D292" s="6" t="n">
        <f aca="false">IFERROR(DATEVALUE(Orders_Raw!D292),"")</f>
        <v>46160</v>
      </c>
      <c r="E292" s="4" t="str">
        <f aca="false">IF(D292="","No","Yes")</f>
        <v>Yes</v>
      </c>
      <c r="F292" s="4" t="n">
        <f aca="false">IFERROR(VALUE(SUBSTITUTE(SUBSTITUTE(SUBSTITUTE(Orders_Raw!G292,"$",""),"NGN",""),",","")),"")</f>
        <v>57.6</v>
      </c>
      <c r="G292" s="4" t="str">
        <f aca="false">IF(F292="","No","Yes")</f>
        <v>Yes</v>
      </c>
      <c r="H292" s="4" t="str">
        <f aca="false">Orders_Raw!F292</f>
        <v>5</v>
      </c>
      <c r="I292" s="4" t="str">
        <f aca="false">IF(H292="","No",IF(H292&lt;=0,"No","Yes"))</f>
        <v>Yes</v>
      </c>
      <c r="J292" s="4" t="str">
        <f aca="false">Orders_Raw!E292</f>
        <v>Phone</v>
      </c>
      <c r="K292" s="4" t="str">
        <f aca="false">Orders_Raw!H292</f>
        <v>2026-05-18 16:09</v>
      </c>
      <c r="L292" s="4" t="str">
        <f aca="false">IF(COUNTIF(Orders_Raw!$A$5:$A$539,A292)&gt;1,"YES","No")</f>
        <v>No</v>
      </c>
      <c r="M292" s="4" t="str">
        <f aca="false">IF(COUNTIFS($B$5:$B$539,B292,$D$5:$D$539,D292,$F$5:$F$539,F292)&gt;1,"YES","No")</f>
        <v>No</v>
      </c>
      <c r="N292" s="4" t="str">
        <f aca="false">IFERROR(INDEX(Customer_Master!$B$5:$B$64,MATCH(B292,Customer_Master!$A$5:$A$64,0)),"UNMATCHED")</f>
        <v>Tunde Ajayi</v>
      </c>
      <c r="O292" s="4" t="str">
        <f aca="false">IFERROR(INDEX(Customer_Master!$C$5:$C$64,MATCH(B292,Customer_Master!$A$5:$A$64,0)),"UNMATCHED")</f>
        <v>Loyal</v>
      </c>
      <c r="P292" s="4" t="str">
        <f aca="false">IFERROR(INDEX(Customer_Master!$D$5:$D$64,MATCH(B292,Customer_Master!$A$5:$A$64,0)),"UNMATCHED")</f>
        <v>Abuja</v>
      </c>
      <c r="Q292" s="4" t="str">
        <f aca="false">IF(N292="UNMATCHED","Unmatched","Matched")</f>
        <v>Matched</v>
      </c>
      <c r="R292" s="4" t="str">
        <f aca="false">IF(OR(E292="No",G292="No",I292="No",L292="YES",Q292="Unmatched"),"NEEDS REVIEW","OK")</f>
        <v>OK</v>
      </c>
    </row>
    <row r="293" customFormat="false" ht="15" hidden="false" customHeight="false" outlineLevel="0" collapsed="false">
      <c r="A293" s="4" t="str">
        <f aca="false">Orders_Raw!A293</f>
        <v>ORD00197</v>
      </c>
      <c r="B293" s="4" t="str">
        <f aca="false">TRIM(UPPER(Orders_Raw!B293))</f>
        <v>CUST0007</v>
      </c>
      <c r="C293" s="4" t="str">
        <f aca="false">PROPER(TRIM(Orders_Raw!C293))</f>
        <v>Tunde Okonkwo</v>
      </c>
      <c r="D293" s="6" t="n">
        <f aca="false">IFERROR(DATEVALUE(Orders_Raw!D293),"")</f>
        <v>46115</v>
      </c>
      <c r="E293" s="4" t="str">
        <f aca="false">IF(D293="","No","Yes")</f>
        <v>Yes</v>
      </c>
      <c r="F293" s="4" t="n">
        <f aca="false">IFERROR(VALUE(SUBSTITUTE(SUBSTITUTE(SUBSTITUTE(Orders_Raw!G293,"$",""),"NGN",""),",","")),"")</f>
        <v>269.05</v>
      </c>
      <c r="G293" s="4" t="str">
        <f aca="false">IF(F293="","No","Yes")</f>
        <v>Yes</v>
      </c>
      <c r="H293" s="4" t="str">
        <f aca="false">Orders_Raw!F293</f>
        <v>1</v>
      </c>
      <c r="I293" s="4" t="str">
        <f aca="false">IF(H293="","No",IF(H293&lt;=0,"No","Yes"))</f>
        <v>Yes</v>
      </c>
      <c r="J293" s="4" t="str">
        <f aca="false">Orders_Raw!E293</f>
        <v>Tablet</v>
      </c>
      <c r="K293" s="4" t="str">
        <f aca="false">Orders_Raw!H293</f>
        <v>2026-04-03 14:06</v>
      </c>
      <c r="L293" s="4" t="str">
        <f aca="false">IF(COUNTIF(Orders_Raw!$A$5:$A$539,A293)&gt;1,"YES","No")</f>
        <v>No</v>
      </c>
      <c r="M293" s="4" t="str">
        <f aca="false">IF(COUNTIFS($B$5:$B$539,B293,$D$5:$D$539,D293,$F$5:$F$539,F293)&gt;1,"YES","No")</f>
        <v>No</v>
      </c>
      <c r="N293" s="4" t="str">
        <f aca="false">IFERROR(INDEX(Customer_Master!$B$5:$B$64,MATCH(B293,Customer_Master!$A$5:$A$64,0)),"UNMATCHED")</f>
        <v>Tunde Okonkwo</v>
      </c>
      <c r="O293" s="4" t="str">
        <f aca="false">IFERROR(INDEX(Customer_Master!$C$5:$C$64,MATCH(B293,Customer_Master!$A$5:$A$64,0)),"UNMATCHED")</f>
        <v>New</v>
      </c>
      <c r="P293" s="4" t="str">
        <f aca="false">IFERROR(INDEX(Customer_Master!$D$5:$D$64,MATCH(B293,Customer_Master!$A$5:$A$64,0)),"UNMATCHED")</f>
        <v>Ibadan</v>
      </c>
      <c r="Q293" s="4" t="str">
        <f aca="false">IF(N293="UNMATCHED","Unmatched","Matched")</f>
        <v>Matched</v>
      </c>
      <c r="R293" s="4" t="str">
        <f aca="false">IF(OR(E293="No",G293="No",I293="No",L293="YES",Q293="Unmatched"),"NEEDS REVIEW","OK")</f>
        <v>OK</v>
      </c>
    </row>
    <row r="294" customFormat="false" ht="15" hidden="false" customHeight="false" outlineLevel="0" collapsed="false">
      <c r="A294" s="4" t="str">
        <f aca="false">Orders_Raw!A294</f>
        <v>ORD00384</v>
      </c>
      <c r="B294" s="4" t="str">
        <f aca="false">TRIM(UPPER(Orders_Raw!B294))</f>
        <v>CUST0015</v>
      </c>
      <c r="C294" s="4" t="str">
        <f aca="false">PROPER(TRIM(Orders_Raw!C294))</f>
        <v>Ahmed Nwosu</v>
      </c>
      <c r="D294" s="6" t="n">
        <f aca="false">IFERROR(DATEVALUE(Orders_Raw!D294),"")</f>
        <v>46181</v>
      </c>
      <c r="E294" s="4" t="str">
        <f aca="false">IF(D294="","No","Yes")</f>
        <v>Yes</v>
      </c>
      <c r="F294" s="4" t="n">
        <f aca="false">IFERROR(VALUE(SUBSTITUTE(SUBSTITUTE(SUBSTITUTE(Orders_Raw!G294,"$",""),"NGN",""),",","")),"")</f>
        <v>402.65</v>
      </c>
      <c r="G294" s="4" t="str">
        <f aca="false">IF(F294="","No","Yes")</f>
        <v>Yes</v>
      </c>
      <c r="H294" s="4" t="str">
        <f aca="false">Orders_Raw!F294</f>
        <v>1</v>
      </c>
      <c r="I294" s="4" t="str">
        <f aca="false">IF(H294="","No",IF(H294&lt;=0,"No","Yes"))</f>
        <v>Yes</v>
      </c>
      <c r="J294" s="4" t="str">
        <f aca="false">Orders_Raw!E294</f>
        <v>Printer</v>
      </c>
      <c r="K294" s="4" t="str">
        <f aca="false">Orders_Raw!H294</f>
        <v>2026-06-08 17:00</v>
      </c>
      <c r="L294" s="4" t="str">
        <f aca="false">IF(COUNTIF(Orders_Raw!$A$5:$A$539,A294)&gt;1,"YES","No")</f>
        <v>No</v>
      </c>
      <c r="M294" s="4" t="str">
        <f aca="false">IF(COUNTIFS($B$5:$B$539,B294,$D$5:$D$539,D294,$F$5:$F$539,F294)&gt;1,"YES","No")</f>
        <v>No</v>
      </c>
      <c r="N294" s="4" t="str">
        <f aca="false">IFERROR(INDEX(Customer_Master!$B$5:$B$64,MATCH(B294,Customer_Master!$A$5:$A$64,0)),"UNMATCHED")</f>
        <v>Ahmed Nwosu</v>
      </c>
      <c r="O294" s="4" t="str">
        <f aca="false">IFERROR(INDEX(Customer_Master!$C$5:$C$64,MATCH(B294,Customer_Master!$A$5:$A$64,0)),"UNMATCHED")</f>
        <v>Champions</v>
      </c>
      <c r="P294" s="4" t="str">
        <f aca="false">IFERROR(INDEX(Customer_Master!$D$5:$D$64,MATCH(B294,Customer_Master!$A$5:$A$64,0)),"UNMATCHED")</f>
        <v>Lagos</v>
      </c>
      <c r="Q294" s="4" t="str">
        <f aca="false">IF(N294="UNMATCHED","Unmatched","Matched")</f>
        <v>Matched</v>
      </c>
      <c r="R294" s="4" t="str">
        <f aca="false">IF(OR(E294="No",G294="No",I294="No",L294="YES",Q294="Unmatched"),"NEEDS REVIEW","OK")</f>
        <v>OK</v>
      </c>
    </row>
    <row r="295" customFormat="false" ht="15" hidden="false" customHeight="false" outlineLevel="0" collapsed="false">
      <c r="A295" s="4" t="str">
        <f aca="false">Orders_Raw!A295</f>
        <v>ORD00446</v>
      </c>
      <c r="B295" s="4" t="str">
        <f aca="false">TRIM(UPPER(Orders_Raw!B295))</f>
        <v>CUST0059</v>
      </c>
      <c r="C295" s="4" t="str">
        <f aca="false">PROPER(TRIM(Orders_Raw!C295))</f>
        <v>Chidi Lawal</v>
      </c>
      <c r="D295" s="6" t="n">
        <f aca="false">IFERROR(DATEVALUE(Orders_Raw!D295),"")</f>
        <v>46190</v>
      </c>
      <c r="E295" s="4" t="str">
        <f aca="false">IF(D295="","No","Yes")</f>
        <v>Yes</v>
      </c>
      <c r="F295" s="4" t="n">
        <f aca="false">IFERROR(VALUE(SUBSTITUTE(SUBSTITUTE(SUBSTITUTE(Orders_Raw!G295,"$",""),"NGN",""),",","")),"")</f>
        <v>2294.02</v>
      </c>
      <c r="G295" s="4" t="str">
        <f aca="false">IF(F295="","No","Yes")</f>
        <v>Yes</v>
      </c>
      <c r="H295" s="4" t="str">
        <f aca="false">Orders_Raw!F295</f>
        <v>1</v>
      </c>
      <c r="I295" s="4" t="str">
        <f aca="false">IF(H295="","No",IF(H295&lt;=0,"No","Yes"))</f>
        <v>Yes</v>
      </c>
      <c r="J295" s="4" t="str">
        <f aca="false">Orders_Raw!E295</f>
        <v>Phone</v>
      </c>
      <c r="K295" s="4" t="str">
        <f aca="false">Orders_Raw!H295</f>
        <v>2026-06-17 10:20</v>
      </c>
      <c r="L295" s="4" t="str">
        <f aca="false">IF(COUNTIF(Orders_Raw!$A$5:$A$539,A295)&gt;1,"YES","No")</f>
        <v>No</v>
      </c>
      <c r="M295" s="4" t="str">
        <f aca="false">IF(COUNTIFS($B$5:$B$539,B295,$D$5:$D$539,D295,$F$5:$F$539,F295)&gt;1,"YES","No")</f>
        <v>No</v>
      </c>
      <c r="N295" s="4" t="str">
        <f aca="false">IFERROR(INDEX(Customer_Master!$B$5:$B$64,MATCH(B295,Customer_Master!$A$5:$A$64,0)),"UNMATCHED")</f>
        <v>Chidi Lawal</v>
      </c>
      <c r="O295" s="4" t="str">
        <f aca="false">IFERROR(INDEX(Customer_Master!$C$5:$C$64,MATCH(B295,Customer_Master!$A$5:$A$64,0)),"UNMATCHED")</f>
        <v>Champions</v>
      </c>
      <c r="P295" s="4" t="str">
        <f aca="false">IFERROR(INDEX(Customer_Master!$D$5:$D$64,MATCH(B295,Customer_Master!$A$5:$A$64,0)),"UNMATCHED")</f>
        <v>Enugu</v>
      </c>
      <c r="Q295" s="4" t="str">
        <f aca="false">IF(N295="UNMATCHED","Unmatched","Matched")</f>
        <v>Matched</v>
      </c>
      <c r="R295" s="4" t="str">
        <f aca="false">IF(OR(E295="No",G295="No",I295="No",L295="YES",Q295="Unmatched"),"NEEDS REVIEW","OK")</f>
        <v>OK</v>
      </c>
    </row>
    <row r="296" customFormat="false" ht="15" hidden="false" customHeight="false" outlineLevel="0" collapsed="false">
      <c r="A296" s="4" t="str">
        <f aca="false">Orders_Raw!A296</f>
        <v>ORD00459</v>
      </c>
      <c r="B296" s="4" t="str">
        <f aca="false">TRIM(UPPER(Orders_Raw!B296))</f>
        <v>CUST0017</v>
      </c>
      <c r="C296" s="4" t="str">
        <f aca="false">PROPER(TRIM(Orders_Raw!C296))</f>
        <v>Ibrahim Ajayi</v>
      </c>
      <c r="D296" s="6" t="str">
        <f aca="false">IFERROR(DATEVALUE(Orders_Raw!D296),"")</f>
        <v/>
      </c>
      <c r="E296" s="4" t="str">
        <f aca="false">IF(D296="","No","Yes")</f>
        <v>No</v>
      </c>
      <c r="F296" s="4" t="n">
        <f aca="false">IFERROR(VALUE(SUBSTITUTE(SUBSTITUTE(SUBSTITUTE(Orders_Raw!G296,"$",""),"NGN",""),",","")),"")</f>
        <v>1525.84</v>
      </c>
      <c r="G296" s="4" t="str">
        <f aca="false">IF(F296="","No","Yes")</f>
        <v>Yes</v>
      </c>
      <c r="H296" s="4" t="str">
        <f aca="false">Orders_Raw!F296</f>
        <v>1</v>
      </c>
      <c r="I296" s="4" t="str">
        <f aca="false">IF(H296="","No",IF(H296&lt;=0,"No","Yes"))</f>
        <v>Yes</v>
      </c>
      <c r="J296" s="4" t="str">
        <f aca="false">Orders_Raw!E296</f>
        <v>Printer</v>
      </c>
      <c r="K296" s="4" t="str">
        <f aca="false">Orders_Raw!H296</f>
        <v>2026-05-20 14:28</v>
      </c>
      <c r="L296" s="4" t="str">
        <f aca="false">IF(COUNTIF(Orders_Raw!$A$5:$A$539,A296)&gt;1,"YES","No")</f>
        <v>No</v>
      </c>
      <c r="M296" s="4" t="str">
        <f aca="false">IF(COUNTIFS($B$5:$B$539,B296,$D$5:$D$539,D296,$F$5:$F$539,F296)&gt;1,"YES","No")</f>
        <v>No</v>
      </c>
      <c r="N296" s="4" t="str">
        <f aca="false">IFERROR(INDEX(Customer_Master!$B$5:$B$64,MATCH(B296,Customer_Master!$A$5:$A$64,0)),"UNMATCHED")</f>
        <v>Ibrahim Ajayi</v>
      </c>
      <c r="O296" s="4" t="str">
        <f aca="false">IFERROR(INDEX(Customer_Master!$C$5:$C$64,MATCH(B296,Customer_Master!$A$5:$A$64,0)),"UNMATCHED")</f>
        <v>Champions</v>
      </c>
      <c r="P296" s="4" t="str">
        <f aca="false">IFERROR(INDEX(Customer_Master!$D$5:$D$64,MATCH(B296,Customer_Master!$A$5:$A$64,0)),"UNMATCHED")</f>
        <v>Enugu</v>
      </c>
      <c r="Q296" s="4" t="str">
        <f aca="false">IF(N296="UNMATCHED","Unmatched","Matched")</f>
        <v>Matched</v>
      </c>
      <c r="R296" s="4" t="str">
        <f aca="false">IF(OR(E296="No",G296="No",I296="No",L296="YES",Q296="Unmatched"),"NEEDS REVIEW","OK")</f>
        <v>NEEDS REVIEW</v>
      </c>
    </row>
    <row r="297" customFormat="false" ht="15" hidden="false" customHeight="false" outlineLevel="0" collapsed="false">
      <c r="A297" s="4" t="str">
        <f aca="false">Orders_Raw!A297</f>
        <v>ORD00439</v>
      </c>
      <c r="B297" s="4" t="str">
        <f aca="false">TRIM(UPPER(Orders_Raw!B297))</f>
        <v>CUST0003</v>
      </c>
      <c r="C297" s="4" t="str">
        <f aca="false">PROPER(TRIM(Orders_Raw!C297))</f>
        <v>Chidi Adamu</v>
      </c>
      <c r="D297" s="6" t="n">
        <f aca="false">IFERROR(DATEVALUE(Orders_Raw!D297),"")</f>
        <v>46095</v>
      </c>
      <c r="E297" s="4" t="str">
        <f aca="false">IF(D297="","No","Yes")</f>
        <v>Yes</v>
      </c>
      <c r="F297" s="4" t="n">
        <f aca="false">IFERROR(VALUE(SUBSTITUTE(SUBSTITUTE(SUBSTITUTE(Orders_Raw!G297,"$",""),"NGN",""),",","")),"")</f>
        <v>1976.13</v>
      </c>
      <c r="G297" s="4" t="str">
        <f aca="false">IF(F297="","No","Yes")</f>
        <v>Yes</v>
      </c>
      <c r="H297" s="4" t="str">
        <f aca="false">Orders_Raw!F297</f>
        <v>2</v>
      </c>
      <c r="I297" s="4" t="str">
        <f aca="false">IF(H297="","No",IF(H297&lt;=0,"No","Yes"))</f>
        <v>Yes</v>
      </c>
      <c r="J297" s="4" t="str">
        <f aca="false">Orders_Raw!E297</f>
        <v>Laptop</v>
      </c>
      <c r="K297" s="4" t="str">
        <f aca="false">Orders_Raw!H297</f>
        <v>2026-03-14 09:24</v>
      </c>
      <c r="L297" s="4" t="str">
        <f aca="false">IF(COUNTIF(Orders_Raw!$A$5:$A$539,A297)&gt;1,"YES","No")</f>
        <v>No</v>
      </c>
      <c r="M297" s="4" t="str">
        <f aca="false">IF(COUNTIFS($B$5:$B$539,B297,$D$5:$D$539,D297,$F$5:$F$539,F297)&gt;1,"YES","No")</f>
        <v>No</v>
      </c>
      <c r="N297" s="4" t="str">
        <f aca="false">IFERROR(INDEX(Customer_Master!$B$5:$B$64,MATCH(B297,Customer_Master!$A$5:$A$64,0)),"UNMATCHED")</f>
        <v>Chidi Adamu</v>
      </c>
      <c r="O297" s="4" t="str">
        <f aca="false">IFERROR(INDEX(Customer_Master!$C$5:$C$64,MATCH(B297,Customer_Master!$A$5:$A$64,0)),"UNMATCHED")</f>
        <v>Champions</v>
      </c>
      <c r="P297" s="4" t="str">
        <f aca="false">IFERROR(INDEX(Customer_Master!$D$5:$D$64,MATCH(B297,Customer_Master!$A$5:$A$64,0)),"UNMATCHED")</f>
        <v>Enugu</v>
      </c>
      <c r="Q297" s="4" t="str">
        <f aca="false">IF(N297="UNMATCHED","Unmatched","Matched")</f>
        <v>Matched</v>
      </c>
      <c r="R297" s="4" t="str">
        <f aca="false">IF(OR(E297="No",G297="No",I297="No",L297="YES",Q297="Unmatched"),"NEEDS REVIEW","OK")</f>
        <v>OK</v>
      </c>
    </row>
    <row r="298" customFormat="false" ht="15" hidden="false" customHeight="false" outlineLevel="0" collapsed="false">
      <c r="A298" s="4" t="str">
        <f aca="false">Orders_Raw!A298</f>
        <v>ORD00029</v>
      </c>
      <c r="B298" s="4" t="str">
        <f aca="false">TRIM(UPPER(Orders_Raw!B298))</f>
        <v>CUST0027</v>
      </c>
      <c r="C298" s="4" t="str">
        <f aca="false">PROPER(TRIM(Orders_Raw!C298))</f>
        <v>Yusuf Sani</v>
      </c>
      <c r="D298" s="6" t="n">
        <f aca="false">IFERROR(DATEVALUE(Orders_Raw!D298),"")</f>
        <v>46220</v>
      </c>
      <c r="E298" s="4" t="str">
        <f aca="false">IF(D298="","No","Yes")</f>
        <v>Yes</v>
      </c>
      <c r="F298" s="4" t="n">
        <f aca="false">IFERROR(VALUE(SUBSTITUTE(SUBSTITUTE(SUBSTITUTE(Orders_Raw!G298,"$",""),"NGN",""),",","")),"")</f>
        <v>2365.96</v>
      </c>
      <c r="G298" s="4" t="str">
        <f aca="false">IF(F298="","No","Yes")</f>
        <v>Yes</v>
      </c>
      <c r="H298" s="4" t="str">
        <f aca="false">Orders_Raw!F298</f>
        <v>5</v>
      </c>
      <c r="I298" s="4" t="str">
        <f aca="false">IF(H298="","No",IF(H298&lt;=0,"No","Yes"))</f>
        <v>Yes</v>
      </c>
      <c r="J298" s="4" t="str">
        <f aca="false">Orders_Raw!E298</f>
        <v>Printer</v>
      </c>
      <c r="K298" s="4" t="str">
        <f aca="false">Orders_Raw!H298</f>
        <v>2026-07-17 08:22</v>
      </c>
      <c r="L298" s="4" t="str">
        <f aca="false">IF(COUNTIF(Orders_Raw!$A$5:$A$539,A298)&gt;1,"YES","No")</f>
        <v>No</v>
      </c>
      <c r="M298" s="4" t="str">
        <f aca="false">IF(COUNTIFS($B$5:$B$539,B298,$D$5:$D$539,D298,$F$5:$F$539,F298)&gt;1,"YES","No")</f>
        <v>No</v>
      </c>
      <c r="N298" s="4" t="str">
        <f aca="false">IFERROR(INDEX(Customer_Master!$B$5:$B$64,MATCH(B298,Customer_Master!$A$5:$A$64,0)),"UNMATCHED")</f>
        <v>Yusuf Sani</v>
      </c>
      <c r="O298" s="4" t="str">
        <f aca="false">IFERROR(INDEX(Customer_Master!$C$5:$C$64,MATCH(B298,Customer_Master!$A$5:$A$64,0)),"UNMATCHED")</f>
        <v>Loyal</v>
      </c>
      <c r="P298" s="4" t="str">
        <f aca="false">IFERROR(INDEX(Customer_Master!$D$5:$D$64,MATCH(B298,Customer_Master!$A$5:$A$64,0)),"UNMATCHED")</f>
        <v>Kano</v>
      </c>
      <c r="Q298" s="4" t="str">
        <f aca="false">IF(N298="UNMATCHED","Unmatched","Matched")</f>
        <v>Matched</v>
      </c>
      <c r="R298" s="4" t="str">
        <f aca="false">IF(OR(E298="No",G298="No",I298="No",L298="YES",Q298="Unmatched"),"NEEDS REVIEW","OK")</f>
        <v>OK</v>
      </c>
    </row>
    <row r="299" customFormat="false" ht="15" hidden="false" customHeight="false" outlineLevel="0" collapsed="false">
      <c r="A299" s="4" t="str">
        <f aca="false">Orders_Raw!A299</f>
        <v>ORD00392</v>
      </c>
      <c r="B299" s="4" t="str">
        <f aca="false">TRIM(UPPER(Orders_Raw!B299))</f>
        <v>CUST0054</v>
      </c>
      <c r="C299" s="4" t="str">
        <f aca="false">PROPER(TRIM(Orders_Raw!C299))</f>
        <v>Samuel Ajayi</v>
      </c>
      <c r="D299" s="6" t="n">
        <f aca="false">IFERROR(DATEVALUE(Orders_Raw!D299),"")</f>
        <v>46213</v>
      </c>
      <c r="E299" s="4" t="str">
        <f aca="false">IF(D299="","No","Yes")</f>
        <v>Yes</v>
      </c>
      <c r="F299" s="4" t="n">
        <f aca="false">IFERROR(VALUE(SUBSTITUTE(SUBSTITUTE(SUBSTITUTE(Orders_Raw!G299,"$",""),"NGN",""),",","")),"")</f>
        <v>660.53</v>
      </c>
      <c r="G299" s="4" t="str">
        <f aca="false">IF(F299="","No","Yes")</f>
        <v>Yes</v>
      </c>
      <c r="H299" s="4" t="str">
        <f aca="false">Orders_Raw!F299</f>
        <v>3</v>
      </c>
      <c r="I299" s="4" t="str">
        <f aca="false">IF(H299="","No",IF(H299&lt;=0,"No","Yes"))</f>
        <v>Yes</v>
      </c>
      <c r="J299" s="4" t="str">
        <f aca="false">Orders_Raw!E299</f>
        <v>Keyboard</v>
      </c>
      <c r="K299" s="4" t="str">
        <f aca="false">Orders_Raw!H299</f>
        <v>2026-07-10 08:26</v>
      </c>
      <c r="L299" s="4" t="str">
        <f aca="false">IF(COUNTIF(Orders_Raw!$A$5:$A$539,A299)&gt;1,"YES","No")</f>
        <v>No</v>
      </c>
      <c r="M299" s="4" t="str">
        <f aca="false">IF(COUNTIFS($B$5:$B$539,B299,$D$5:$D$539,D299,$F$5:$F$539,F299)&gt;1,"YES","No")</f>
        <v>No</v>
      </c>
      <c r="N299" s="4" t="str">
        <f aca="false">IFERROR(INDEX(Customer_Master!$B$5:$B$64,MATCH(B299,Customer_Master!$A$5:$A$64,0)),"UNMATCHED")</f>
        <v>Samuel Ajayi</v>
      </c>
      <c r="O299" s="4" t="str">
        <f aca="false">IFERROR(INDEX(Customer_Master!$C$5:$C$64,MATCH(B299,Customer_Master!$A$5:$A$64,0)),"UNMATCHED")</f>
        <v>At Risk</v>
      </c>
      <c r="P299" s="4" t="str">
        <f aca="false">IFERROR(INDEX(Customer_Master!$D$5:$D$64,MATCH(B299,Customer_Master!$A$5:$A$64,0)),"UNMATCHED")</f>
        <v>Kaduna</v>
      </c>
      <c r="Q299" s="4" t="str">
        <f aca="false">IF(N299="UNMATCHED","Unmatched","Matched")</f>
        <v>Matched</v>
      </c>
      <c r="R299" s="4" t="str">
        <f aca="false">IF(OR(E299="No",G299="No",I299="No",L299="YES",Q299="Unmatched"),"NEEDS REVIEW","OK")</f>
        <v>OK</v>
      </c>
    </row>
    <row r="300" customFormat="false" ht="15" hidden="false" customHeight="false" outlineLevel="0" collapsed="false">
      <c r="A300" s="4" t="str">
        <f aca="false">Orders_Raw!A300</f>
        <v>ORD00169</v>
      </c>
      <c r="B300" s="4" t="str">
        <f aca="false">TRIM(UPPER(Orders_Raw!B300))</f>
        <v>CUST0004</v>
      </c>
      <c r="C300" s="4" t="str">
        <f aca="false">PROPER(TRIM(Orders_Raw!C300))</f>
        <v>Grace Duru</v>
      </c>
      <c r="D300" s="6" t="str">
        <f aca="false">IFERROR(DATEVALUE(Orders_Raw!D300),"")</f>
        <v/>
      </c>
      <c r="E300" s="4" t="str">
        <f aca="false">IF(D300="","No","Yes")</f>
        <v>No</v>
      </c>
      <c r="F300" s="4" t="n">
        <f aca="false">IFERROR(VALUE(SUBSTITUTE(SUBSTITUTE(SUBSTITUTE(Orders_Raw!G300,"$",""),"NGN",""),",","")),"")</f>
        <v>1416.32</v>
      </c>
      <c r="G300" s="4" t="str">
        <f aca="false">IF(F300="","No","Yes")</f>
        <v>Yes</v>
      </c>
      <c r="H300" s="4" t="str">
        <f aca="false">Orders_Raw!F300</f>
        <v>2</v>
      </c>
      <c r="I300" s="4" t="str">
        <f aca="false">IF(H300="","No",IF(H300&lt;=0,"No","Yes"))</f>
        <v>Yes</v>
      </c>
      <c r="J300" s="4" t="str">
        <f aca="false">Orders_Raw!E300</f>
        <v>Laptop</v>
      </c>
      <c r="K300" s="4" t="str">
        <f aca="false">Orders_Raw!H300</f>
        <v>2026-04-17 14:16</v>
      </c>
      <c r="L300" s="4" t="str">
        <f aca="false">IF(COUNTIF(Orders_Raw!$A$5:$A$539,A300)&gt;1,"YES","No")</f>
        <v>YES</v>
      </c>
      <c r="M300" s="4" t="str">
        <f aca="false">IF(COUNTIFS($B$5:$B$539,B300,$D$5:$D$539,D300,$F$5:$F$539,F300)&gt;1,"YES","No")</f>
        <v>YES</v>
      </c>
      <c r="N300" s="4" t="str">
        <f aca="false">IFERROR(INDEX(Customer_Master!$B$5:$B$64,MATCH(B300,Customer_Master!$A$5:$A$64,0)),"UNMATCHED")</f>
        <v>Grace Duru</v>
      </c>
      <c r="O300" s="4" t="str">
        <f aca="false">IFERROR(INDEX(Customer_Master!$C$5:$C$64,MATCH(B300,Customer_Master!$A$5:$A$64,0)),"UNMATCHED")</f>
        <v>Champions</v>
      </c>
      <c r="P300" s="4" t="str">
        <f aca="false">IFERROR(INDEX(Customer_Master!$D$5:$D$64,MATCH(B300,Customer_Master!$A$5:$A$64,0)),"UNMATCHED")</f>
        <v>Kano</v>
      </c>
      <c r="Q300" s="4" t="str">
        <f aca="false">IF(N300="UNMATCHED","Unmatched","Matched")</f>
        <v>Matched</v>
      </c>
      <c r="R300" s="4" t="str">
        <f aca="false">IF(OR(E300="No",G300="No",I300="No",L300="YES",Q300="Unmatched"),"NEEDS REVIEW","OK")</f>
        <v>NEEDS REVIEW</v>
      </c>
    </row>
    <row r="301" customFormat="false" ht="15" hidden="false" customHeight="false" outlineLevel="0" collapsed="false">
      <c r="A301" s="4" t="str">
        <f aca="false">Orders_Raw!A301</f>
        <v>ORD00477</v>
      </c>
      <c r="B301" s="4" t="str">
        <f aca="false">TRIM(UPPER(Orders_Raw!B301))</f>
        <v>CUST0007</v>
      </c>
      <c r="C301" s="4" t="str">
        <f aca="false">PROPER(TRIM(Orders_Raw!C301))</f>
        <v>Tunde Okonkwo</v>
      </c>
      <c r="D301" s="6" t="n">
        <f aca="false">IFERROR(DATEVALUE(Orders_Raw!D301),"")</f>
        <v>46163</v>
      </c>
      <c r="E301" s="4" t="str">
        <f aca="false">IF(D301="","No","Yes")</f>
        <v>Yes</v>
      </c>
      <c r="F301" s="4" t="n">
        <f aca="false">IFERROR(VALUE(SUBSTITUTE(SUBSTITUTE(SUBSTITUTE(Orders_Raw!G301,"$",""),"NGN",""),",","")),"")</f>
        <v>688.56</v>
      </c>
      <c r="G301" s="4" t="str">
        <f aca="false">IF(F301="","No","Yes")</f>
        <v>Yes</v>
      </c>
      <c r="H301" s="4" t="str">
        <f aca="false">Orders_Raw!F301</f>
        <v>3</v>
      </c>
      <c r="I301" s="4" t="str">
        <f aca="false">IF(H301="","No",IF(H301&lt;=0,"No","Yes"))</f>
        <v>Yes</v>
      </c>
      <c r="J301" s="4" t="str">
        <f aca="false">Orders_Raw!E301</f>
        <v>Speaker</v>
      </c>
      <c r="K301" s="4" t="str">
        <f aca="false">Orders_Raw!H301</f>
        <v>2026-05-21 13:34</v>
      </c>
      <c r="L301" s="4" t="str">
        <f aca="false">IF(COUNTIF(Orders_Raw!$A$5:$A$539,A301)&gt;1,"YES","No")</f>
        <v>No</v>
      </c>
      <c r="M301" s="4" t="str">
        <f aca="false">IF(COUNTIFS($B$5:$B$539,B301,$D$5:$D$539,D301,$F$5:$F$539,F301)&gt;1,"YES","No")</f>
        <v>No</v>
      </c>
      <c r="N301" s="4" t="str">
        <f aca="false">IFERROR(INDEX(Customer_Master!$B$5:$B$64,MATCH(B301,Customer_Master!$A$5:$A$64,0)),"UNMATCHED")</f>
        <v>Tunde Okonkwo</v>
      </c>
      <c r="O301" s="4" t="str">
        <f aca="false">IFERROR(INDEX(Customer_Master!$C$5:$C$64,MATCH(B301,Customer_Master!$A$5:$A$64,0)),"UNMATCHED")</f>
        <v>New</v>
      </c>
      <c r="P301" s="4" t="str">
        <f aca="false">IFERROR(INDEX(Customer_Master!$D$5:$D$64,MATCH(B301,Customer_Master!$A$5:$A$64,0)),"UNMATCHED")</f>
        <v>Ibadan</v>
      </c>
      <c r="Q301" s="4" t="str">
        <f aca="false">IF(N301="UNMATCHED","Unmatched","Matched")</f>
        <v>Matched</v>
      </c>
      <c r="R301" s="4" t="str">
        <f aca="false">IF(OR(E301="No",G301="No",I301="No",L301="YES",Q301="Unmatched"),"NEEDS REVIEW","OK")</f>
        <v>OK</v>
      </c>
    </row>
    <row r="302" customFormat="false" ht="15" hidden="false" customHeight="false" outlineLevel="0" collapsed="false">
      <c r="A302" s="4" t="str">
        <f aca="false">Orders_Raw!A302</f>
        <v>ORD00295</v>
      </c>
      <c r="B302" s="4" t="str">
        <f aca="false">TRIM(UPPER(Orders_Raw!B302))</f>
        <v>CUST0043</v>
      </c>
      <c r="C302" s="4" t="str">
        <f aca="false">PROPER(TRIM(Orders_Raw!C302))</f>
        <v>Grace Ajayi</v>
      </c>
      <c r="D302" s="6" t="n">
        <f aca="false">IFERROR(DATEVALUE(Orders_Raw!D302),"")</f>
        <v>46119</v>
      </c>
      <c r="E302" s="4" t="str">
        <f aca="false">IF(D302="","No","Yes")</f>
        <v>Yes</v>
      </c>
      <c r="F302" s="4" t="n">
        <f aca="false">IFERROR(VALUE(SUBSTITUTE(SUBSTITUTE(SUBSTITUTE(Orders_Raw!G302,"$",""),"NGN",""),",","")),"")</f>
        <v>1643.67</v>
      </c>
      <c r="G302" s="4" t="str">
        <f aca="false">IF(F302="","No","Yes")</f>
        <v>Yes</v>
      </c>
      <c r="H302" s="4" t="str">
        <f aca="false">Orders_Raw!F302</f>
        <v>2</v>
      </c>
      <c r="I302" s="4" t="str">
        <f aca="false">IF(H302="","No",IF(H302&lt;=0,"No","Yes"))</f>
        <v>Yes</v>
      </c>
      <c r="J302" s="4" t="str">
        <f aca="false">Orders_Raw!E302</f>
        <v>Laptop</v>
      </c>
      <c r="K302" s="4" t="str">
        <f aca="false">Orders_Raw!H302</f>
        <v>2026-07-04 17:45</v>
      </c>
      <c r="L302" s="4" t="str">
        <f aca="false">IF(COUNTIF(Orders_Raw!$A$5:$A$539,A302)&gt;1,"YES","No")</f>
        <v>No</v>
      </c>
      <c r="M302" s="4" t="str">
        <f aca="false">IF(COUNTIFS($B$5:$B$539,B302,$D$5:$D$539,D302,$F$5:$F$539,F302)&gt;1,"YES","No")</f>
        <v>No</v>
      </c>
      <c r="N302" s="4" t="str">
        <f aca="false">IFERROR(INDEX(Customer_Master!$B$5:$B$64,MATCH(B302,Customer_Master!$A$5:$A$64,0)),"UNMATCHED")</f>
        <v>Grace Ajayi</v>
      </c>
      <c r="O302" s="4" t="str">
        <f aca="false">IFERROR(INDEX(Customer_Master!$C$5:$C$64,MATCH(B302,Customer_Master!$A$5:$A$64,0)),"UNMATCHED")</f>
        <v>New</v>
      </c>
      <c r="P302" s="4" t="str">
        <f aca="false">IFERROR(INDEX(Customer_Master!$D$5:$D$64,MATCH(B302,Customer_Master!$A$5:$A$64,0)),"UNMATCHED")</f>
        <v>Abuja</v>
      </c>
      <c r="Q302" s="4" t="str">
        <f aca="false">IF(N302="UNMATCHED","Unmatched","Matched")</f>
        <v>Matched</v>
      </c>
      <c r="R302" s="4" t="str">
        <f aca="false">IF(OR(E302="No",G302="No",I302="No",L302="YES",Q302="Unmatched"),"NEEDS REVIEW","OK")</f>
        <v>OK</v>
      </c>
    </row>
    <row r="303" customFormat="false" ht="15" hidden="false" customHeight="false" outlineLevel="0" collapsed="false">
      <c r="A303" s="4" t="str">
        <f aca="false">Orders_Raw!A303</f>
        <v>ORD00516</v>
      </c>
      <c r="B303" s="4" t="str">
        <f aca="false">TRIM(UPPER(Orders_Raw!B303))</f>
        <v>CUST0048</v>
      </c>
      <c r="C303" s="4" t="str">
        <f aca="false">PROPER(TRIM(Orders_Raw!C303))</f>
        <v>Musa Chukwu</v>
      </c>
      <c r="D303" s="6" t="str">
        <f aca="false">IFERROR(DATEVALUE(Orders_Raw!D303),"")</f>
        <v/>
      </c>
      <c r="E303" s="4" t="str">
        <f aca="false">IF(D303="","No","Yes")</f>
        <v>No</v>
      </c>
      <c r="F303" s="4" t="n">
        <f aca="false">IFERROR(VALUE(SUBSTITUTE(SUBSTITUTE(SUBSTITUTE(Orders_Raw!G303,"$",""),"NGN",""),",","")),"")</f>
        <v>1803.55</v>
      </c>
      <c r="G303" s="4" t="str">
        <f aca="false">IF(F303="","No","Yes")</f>
        <v>Yes</v>
      </c>
      <c r="H303" s="4" t="str">
        <f aca="false">Orders_Raw!F303</f>
        <v>1</v>
      </c>
      <c r="I303" s="4" t="str">
        <f aca="false">IF(H303="","No",IF(H303&lt;=0,"No","Yes"))</f>
        <v>Yes</v>
      </c>
      <c r="J303" s="4" t="str">
        <f aca="false">Orders_Raw!E303</f>
        <v>Tablet</v>
      </c>
      <c r="K303" s="4" t="str">
        <f aca="false">Orders_Raw!H303</f>
        <v>2026-02-19 18:19</v>
      </c>
      <c r="L303" s="4" t="str">
        <f aca="false">IF(COUNTIF(Orders_Raw!$A$5:$A$539,A303)&gt;1,"YES","No")</f>
        <v>No</v>
      </c>
      <c r="M303" s="4" t="str">
        <f aca="false">IF(COUNTIFS($B$5:$B$539,B303,$D$5:$D$539,D303,$F$5:$F$539,F303)&gt;1,"YES","No")</f>
        <v>No</v>
      </c>
      <c r="N303" s="4" t="str">
        <f aca="false">IFERROR(INDEX(Customer_Master!$B$5:$B$64,MATCH(B303,Customer_Master!$A$5:$A$64,0)),"UNMATCHED")</f>
        <v>Musa Chukwu</v>
      </c>
      <c r="O303" s="4" t="str">
        <f aca="false">IFERROR(INDEX(Customer_Master!$C$5:$C$64,MATCH(B303,Customer_Master!$A$5:$A$64,0)),"UNMATCHED")</f>
        <v>Lost / Low-Value</v>
      </c>
      <c r="P303" s="4" t="str">
        <f aca="false">IFERROR(INDEX(Customer_Master!$D$5:$D$64,MATCH(B303,Customer_Master!$A$5:$A$64,0)),"UNMATCHED")</f>
        <v>Kaduna</v>
      </c>
      <c r="Q303" s="4" t="str">
        <f aca="false">IF(N303="UNMATCHED","Unmatched","Matched")</f>
        <v>Matched</v>
      </c>
      <c r="R303" s="4" t="str">
        <f aca="false">IF(OR(E303="No",G303="No",I303="No",L303="YES",Q303="Unmatched"),"NEEDS REVIEW","OK")</f>
        <v>NEEDS REVIEW</v>
      </c>
    </row>
    <row r="304" customFormat="false" ht="15" hidden="false" customHeight="false" outlineLevel="0" collapsed="false">
      <c r="A304" s="4" t="str">
        <f aca="false">Orders_Raw!A304</f>
        <v>ORD00394</v>
      </c>
      <c r="B304" s="4" t="str">
        <f aca="false">TRIM(UPPER(Orders_Raw!B304))</f>
        <v>CUST0032</v>
      </c>
      <c r="C304" s="4" t="str">
        <f aca="false">PROPER(TRIM(Orders_Raw!C304))</f>
        <v>Ola Obi</v>
      </c>
      <c r="D304" s="6" t="str">
        <f aca="false">IFERROR(DATEVALUE(Orders_Raw!D304),"")</f>
        <v/>
      </c>
      <c r="E304" s="4" t="str">
        <f aca="false">IF(D304="","No","Yes")</f>
        <v>No</v>
      </c>
      <c r="F304" s="4" t="n">
        <f aca="false">IFERROR(VALUE(SUBSTITUTE(SUBSTITUTE(SUBSTITUTE(Orders_Raw!G304,"$",""),"NGN",""),",","")),"")</f>
        <v>1539.95</v>
      </c>
      <c r="G304" s="4" t="str">
        <f aca="false">IF(F304="","No","Yes")</f>
        <v>Yes</v>
      </c>
      <c r="H304" s="4" t="str">
        <f aca="false">Orders_Raw!F304</f>
        <v>4</v>
      </c>
      <c r="I304" s="4" t="str">
        <f aca="false">IF(H304="","No",IF(H304&lt;=0,"No","Yes"))</f>
        <v>Yes</v>
      </c>
      <c r="J304" s="4" t="str">
        <f aca="false">Orders_Raw!E304</f>
        <v>Keyboard</v>
      </c>
      <c r="K304" s="4" t="str">
        <f aca="false">Orders_Raw!H304</f>
        <v>2026-01-21 14:40</v>
      </c>
      <c r="L304" s="4" t="str">
        <f aca="false">IF(COUNTIF(Orders_Raw!$A$5:$A$539,A304)&gt;1,"YES","No")</f>
        <v>No</v>
      </c>
      <c r="M304" s="4" t="str">
        <f aca="false">IF(COUNTIFS($B$5:$B$539,B304,$D$5:$D$539,D304,$F$5:$F$539,F304)&gt;1,"YES","No")</f>
        <v>No</v>
      </c>
      <c r="N304" s="4" t="str">
        <f aca="false">IFERROR(INDEX(Customer_Master!$B$5:$B$64,MATCH(B304,Customer_Master!$A$5:$A$64,0)),"UNMATCHED")</f>
        <v>Ola Obi</v>
      </c>
      <c r="O304" s="4" t="str">
        <f aca="false">IFERROR(INDEX(Customer_Master!$C$5:$C$64,MATCH(B304,Customer_Master!$A$5:$A$64,0)),"UNMATCHED")</f>
        <v>Lost / Low-Value</v>
      </c>
      <c r="P304" s="4" t="str">
        <f aca="false">IFERROR(INDEX(Customer_Master!$D$5:$D$64,MATCH(B304,Customer_Master!$A$5:$A$64,0)),"UNMATCHED")</f>
        <v>Abuja</v>
      </c>
      <c r="Q304" s="4" t="str">
        <f aca="false">IF(N304="UNMATCHED","Unmatched","Matched")</f>
        <v>Matched</v>
      </c>
      <c r="R304" s="4" t="str">
        <f aca="false">IF(OR(E304="No",G304="No",I304="No",L304="YES",Q304="Unmatched"),"NEEDS REVIEW","OK")</f>
        <v>NEEDS REVIEW</v>
      </c>
    </row>
    <row r="305" customFormat="false" ht="15" hidden="false" customHeight="false" outlineLevel="0" collapsed="false">
      <c r="A305" s="4" t="str">
        <f aca="false">Orders_Raw!A305</f>
        <v>ORD00219</v>
      </c>
      <c r="B305" s="4" t="str">
        <f aca="false">TRIM(UPPER(Orders_Raw!B305))</f>
        <v>CUST0015</v>
      </c>
      <c r="C305" s="4" t="str">
        <f aca="false">PROPER(TRIM(Orders_Raw!C305))</f>
        <v>Ahmed Nwosu</v>
      </c>
      <c r="D305" s="6" t="str">
        <f aca="false">IFERROR(DATEVALUE(Orders_Raw!D305),"")</f>
        <v/>
      </c>
      <c r="E305" s="4" t="str">
        <f aca="false">IF(D305="","No","Yes")</f>
        <v>No</v>
      </c>
      <c r="F305" s="4" t="n">
        <f aca="false">IFERROR(VALUE(SUBSTITUTE(SUBSTITUTE(SUBSTITUTE(Orders_Raw!G305,"$",""),"NGN",""),",","")),"")</f>
        <v>1420.64</v>
      </c>
      <c r="G305" s="4" t="str">
        <f aca="false">IF(F305="","No","Yes")</f>
        <v>Yes</v>
      </c>
      <c r="H305" s="4" t="str">
        <f aca="false">Orders_Raw!F305</f>
        <v>3</v>
      </c>
      <c r="I305" s="4" t="str">
        <f aca="false">IF(H305="","No",IF(H305&lt;=0,"No","Yes"))</f>
        <v>Yes</v>
      </c>
      <c r="J305" s="4" t="str">
        <f aca="false">Orders_Raw!E305</f>
        <v>Mouse</v>
      </c>
      <c r="K305" s="4" t="str">
        <f aca="false">Orders_Raw!H305</f>
        <v>2026-07-19 16:52</v>
      </c>
      <c r="L305" s="4" t="str">
        <f aca="false">IF(COUNTIF(Orders_Raw!$A$5:$A$539,A305)&gt;1,"YES","No")</f>
        <v>YES</v>
      </c>
      <c r="M305" s="4" t="str">
        <f aca="false">IF(COUNTIFS($B$5:$B$539,B305,$D$5:$D$539,D305,$F$5:$F$539,F305)&gt;1,"YES","No")</f>
        <v>YES</v>
      </c>
      <c r="N305" s="4" t="str">
        <f aca="false">IFERROR(INDEX(Customer_Master!$B$5:$B$64,MATCH(B305,Customer_Master!$A$5:$A$64,0)),"UNMATCHED")</f>
        <v>Ahmed Nwosu</v>
      </c>
      <c r="O305" s="4" t="str">
        <f aca="false">IFERROR(INDEX(Customer_Master!$C$5:$C$64,MATCH(B305,Customer_Master!$A$5:$A$64,0)),"UNMATCHED")</f>
        <v>Champions</v>
      </c>
      <c r="P305" s="4" t="str">
        <f aca="false">IFERROR(INDEX(Customer_Master!$D$5:$D$64,MATCH(B305,Customer_Master!$A$5:$A$64,0)),"UNMATCHED")</f>
        <v>Lagos</v>
      </c>
      <c r="Q305" s="4" t="str">
        <f aca="false">IF(N305="UNMATCHED","Unmatched","Matched")</f>
        <v>Matched</v>
      </c>
      <c r="R305" s="4" t="str">
        <f aca="false">IF(OR(E305="No",G305="No",I305="No",L305="YES",Q305="Unmatched"),"NEEDS REVIEW","OK")</f>
        <v>NEEDS REVIEW</v>
      </c>
    </row>
    <row r="306" customFormat="false" ht="15" hidden="false" customHeight="false" outlineLevel="0" collapsed="false">
      <c r="A306" s="4" t="str">
        <f aca="false">Orders_Raw!A306</f>
        <v>ORD00326</v>
      </c>
      <c r="B306" s="4" t="str">
        <f aca="false">TRIM(UPPER(Orders_Raw!B306))</f>
        <v>CUST0053</v>
      </c>
      <c r="C306" s="4" t="str">
        <f aca="false">PROPER(TRIM(Orders_Raw!C306))</f>
        <v>Comfort Adeyemi</v>
      </c>
      <c r="D306" s="6" t="n">
        <f aca="false">IFERROR(DATEVALUE(Orders_Raw!D306),"")</f>
        <v>46191</v>
      </c>
      <c r="E306" s="4" t="str">
        <f aca="false">IF(D306="","No","Yes")</f>
        <v>Yes</v>
      </c>
      <c r="F306" s="4" t="n">
        <f aca="false">IFERROR(VALUE(SUBSTITUTE(SUBSTITUTE(SUBSTITUTE(Orders_Raw!G306,"$",""),"NGN",""),",","")),"")</f>
        <v>1521.31</v>
      </c>
      <c r="G306" s="4" t="str">
        <f aca="false">IF(F306="","No","Yes")</f>
        <v>Yes</v>
      </c>
      <c r="H306" s="4" t="str">
        <f aca="false">Orders_Raw!F306</f>
        <v>3</v>
      </c>
      <c r="I306" s="4" t="str">
        <f aca="false">IF(H306="","No",IF(H306&lt;=0,"No","Yes"))</f>
        <v>Yes</v>
      </c>
      <c r="J306" s="4" t="str">
        <f aca="false">Orders_Raw!E306</f>
        <v>Speaker</v>
      </c>
      <c r="K306" s="4" t="str">
        <f aca="false">Orders_Raw!H306</f>
        <v>2026-06-18 11:17</v>
      </c>
      <c r="L306" s="4" t="str">
        <f aca="false">IF(COUNTIF(Orders_Raw!$A$5:$A$539,A306)&gt;1,"YES","No")</f>
        <v>No</v>
      </c>
      <c r="M306" s="4" t="str">
        <f aca="false">IF(COUNTIFS($B$5:$B$539,B306,$D$5:$D$539,D306,$F$5:$F$539,F306)&gt;1,"YES","No")</f>
        <v>No</v>
      </c>
      <c r="N306" s="4" t="str">
        <f aca="false">IFERROR(INDEX(Customer_Master!$B$5:$B$64,MATCH(B306,Customer_Master!$A$5:$A$64,0)),"UNMATCHED")</f>
        <v>Comfort Adeyemi</v>
      </c>
      <c r="O306" s="4" t="str">
        <f aca="false">IFERROR(INDEX(Customer_Master!$C$5:$C$64,MATCH(B306,Customer_Master!$A$5:$A$64,0)),"UNMATCHED")</f>
        <v>At Risk</v>
      </c>
      <c r="P306" s="4" t="str">
        <f aca="false">IFERROR(INDEX(Customer_Master!$D$5:$D$64,MATCH(B306,Customer_Master!$A$5:$A$64,0)),"UNMATCHED")</f>
        <v>Abuja</v>
      </c>
      <c r="Q306" s="4" t="str">
        <f aca="false">IF(N306="UNMATCHED","Unmatched","Matched")</f>
        <v>Matched</v>
      </c>
      <c r="R306" s="4" t="str">
        <f aca="false">IF(OR(E306="No",G306="No",I306="No",L306="YES",Q306="Unmatched"),"NEEDS REVIEW","OK")</f>
        <v>OK</v>
      </c>
    </row>
    <row r="307" customFormat="false" ht="15" hidden="false" customHeight="false" outlineLevel="0" collapsed="false">
      <c r="A307" s="4" t="str">
        <f aca="false">Orders_Raw!A307</f>
        <v>ORD00485</v>
      </c>
      <c r="B307" s="4" t="str">
        <f aca="false">TRIM(UPPER(Orders_Raw!B307))</f>
        <v>CUST0039</v>
      </c>
      <c r="C307" s="4" t="str">
        <f aca="false">PROPER(TRIM(Orders_Raw!C307))</f>
        <v>Samuel Lawal</v>
      </c>
      <c r="D307" s="6" t="str">
        <f aca="false">IFERROR(DATEVALUE(Orders_Raw!D307),"")</f>
        <v/>
      </c>
      <c r="E307" s="4" t="str">
        <f aca="false">IF(D307="","No","Yes")</f>
        <v>No</v>
      </c>
      <c r="F307" s="4" t="n">
        <f aca="false">IFERROR(VALUE(SUBSTITUTE(SUBSTITUTE(SUBSTITUTE(Orders_Raw!G307,"$",""),"NGN",""),",","")),"")</f>
        <v>452.79</v>
      </c>
      <c r="G307" s="4" t="str">
        <f aca="false">IF(F307="","No","Yes")</f>
        <v>Yes</v>
      </c>
      <c r="H307" s="4" t="str">
        <f aca="false">Orders_Raw!F307</f>
        <v>1</v>
      </c>
      <c r="I307" s="4" t="str">
        <f aca="false">IF(H307="","No",IF(H307&lt;=0,"No","Yes"))</f>
        <v>Yes</v>
      </c>
      <c r="J307" s="4" t="str">
        <f aca="false">Orders_Raw!E307</f>
        <v>Speaker</v>
      </c>
      <c r="K307" s="4" t="str">
        <f aca="false">Orders_Raw!H307</f>
        <v>2026-01-25 14:20</v>
      </c>
      <c r="L307" s="4" t="str">
        <f aca="false">IF(COUNTIF(Orders_Raw!$A$5:$A$539,A307)&gt;1,"YES","No")</f>
        <v>No</v>
      </c>
      <c r="M307" s="4" t="str">
        <f aca="false">IF(COUNTIFS($B$5:$B$539,B307,$D$5:$D$539,D307,$F$5:$F$539,F307)&gt;1,"YES","No")</f>
        <v>No</v>
      </c>
      <c r="N307" s="4" t="str">
        <f aca="false">IFERROR(INDEX(Customer_Master!$B$5:$B$64,MATCH(B307,Customer_Master!$A$5:$A$64,0)),"UNMATCHED")</f>
        <v>Samuel Lawal</v>
      </c>
      <c r="O307" s="4" t="str">
        <f aca="false">IFERROR(INDEX(Customer_Master!$C$5:$C$64,MATCH(B307,Customer_Master!$A$5:$A$64,0)),"UNMATCHED")</f>
        <v>At Risk</v>
      </c>
      <c r="P307" s="4" t="str">
        <f aca="false">IFERROR(INDEX(Customer_Master!$D$5:$D$64,MATCH(B307,Customer_Master!$A$5:$A$64,0)),"UNMATCHED")</f>
        <v>Kano</v>
      </c>
      <c r="Q307" s="4" t="str">
        <f aca="false">IF(N307="UNMATCHED","Unmatched","Matched")</f>
        <v>Matched</v>
      </c>
      <c r="R307" s="4" t="str">
        <f aca="false">IF(OR(E307="No",G307="No",I307="No",L307="YES",Q307="Unmatched"),"NEEDS REVIEW","OK")</f>
        <v>NEEDS REVIEW</v>
      </c>
    </row>
    <row r="308" customFormat="false" ht="15" hidden="false" customHeight="false" outlineLevel="0" collapsed="false">
      <c r="A308" s="4" t="str">
        <f aca="false">Orders_Raw!A308</f>
        <v>ORD00340</v>
      </c>
      <c r="B308" s="4" t="str">
        <f aca="false">TRIM(UPPER(Orders_Raw!B308))</f>
        <v>CUST0051</v>
      </c>
      <c r="C308" s="4" t="str">
        <f aca="false">PROPER(TRIM(Orders_Raw!C308))</f>
        <v>Ahmed Ajayi</v>
      </c>
      <c r="D308" s="6" t="n">
        <f aca="false">IFERROR(DATEVALUE(Orders_Raw!D308),"")</f>
        <v>46088</v>
      </c>
      <c r="E308" s="4" t="str">
        <f aca="false">IF(D308="","No","Yes")</f>
        <v>Yes</v>
      </c>
      <c r="F308" s="4" t="n">
        <f aca="false">IFERROR(VALUE(SUBSTITUTE(SUBSTITUTE(SUBSTITUTE(Orders_Raw!G308,"$",""),"NGN",""),",","")),"")</f>
        <v>1814.08</v>
      </c>
      <c r="G308" s="4" t="str">
        <f aca="false">IF(F308="","No","Yes")</f>
        <v>Yes</v>
      </c>
      <c r="H308" s="4" t="str">
        <f aca="false">Orders_Raw!F308</f>
        <v>3</v>
      </c>
      <c r="I308" s="4" t="str">
        <f aca="false">IF(H308="","No",IF(H308&lt;=0,"No","Yes"))</f>
        <v>Yes</v>
      </c>
      <c r="J308" s="4" t="str">
        <f aca="false">Orders_Raw!E308</f>
        <v>Tablet</v>
      </c>
      <c r="K308" s="4" t="str">
        <f aca="false">Orders_Raw!H308</f>
        <v>2026-03-07 15:31</v>
      </c>
      <c r="L308" s="4" t="str">
        <f aca="false">IF(COUNTIF(Orders_Raw!$A$5:$A$539,A308)&gt;1,"YES","No")</f>
        <v>No</v>
      </c>
      <c r="M308" s="4" t="str">
        <f aca="false">IF(COUNTIFS($B$5:$B$539,B308,$D$5:$D$539,D308,$F$5:$F$539,F308)&gt;1,"YES","No")</f>
        <v>No</v>
      </c>
      <c r="N308" s="4" t="str">
        <f aca="false">IFERROR(INDEX(Customer_Master!$B$5:$B$64,MATCH(B308,Customer_Master!$A$5:$A$64,0)),"UNMATCHED")</f>
        <v>Ahmed Ajayi</v>
      </c>
      <c r="O308" s="4" t="str">
        <f aca="false">IFERROR(INDEX(Customer_Master!$C$5:$C$64,MATCH(B308,Customer_Master!$A$5:$A$64,0)),"UNMATCHED")</f>
        <v>Champions</v>
      </c>
      <c r="P308" s="4" t="str">
        <f aca="false">IFERROR(INDEX(Customer_Master!$D$5:$D$64,MATCH(B308,Customer_Master!$A$5:$A$64,0)),"UNMATCHED")</f>
        <v>Abuja</v>
      </c>
      <c r="Q308" s="4" t="str">
        <f aca="false">IF(N308="UNMATCHED","Unmatched","Matched")</f>
        <v>Matched</v>
      </c>
      <c r="R308" s="4" t="str">
        <f aca="false">IF(OR(E308="No",G308="No",I308="No",L308="YES",Q308="Unmatched"),"NEEDS REVIEW","OK")</f>
        <v>OK</v>
      </c>
    </row>
    <row r="309" customFormat="false" ht="15" hidden="false" customHeight="false" outlineLevel="0" collapsed="false">
      <c r="A309" s="4" t="str">
        <f aca="false">Orders_Raw!A309</f>
        <v>ORD00171</v>
      </c>
      <c r="B309" s="4" t="str">
        <f aca="false">TRIM(UPPER(Orders_Raw!B309))</f>
        <v>CUST0019</v>
      </c>
      <c r="C309" s="4" t="str">
        <f aca="false">PROPER(TRIM(Orders_Raw!C309))</f>
        <v>Ifeoma Chukwu</v>
      </c>
      <c r="D309" s="6" t="str">
        <f aca="false">IFERROR(DATEVALUE(Orders_Raw!D309),"")</f>
        <v/>
      </c>
      <c r="E309" s="4" t="str">
        <f aca="false">IF(D309="","No","Yes")</f>
        <v>No</v>
      </c>
      <c r="F309" s="4" t="n">
        <f aca="false">IFERROR(VALUE(SUBSTITUTE(SUBSTITUTE(SUBSTITUTE(Orders_Raw!G309,"$",""),"NGN",""),",","")),"")</f>
        <v>945.54</v>
      </c>
      <c r="G309" s="4" t="str">
        <f aca="false">IF(F309="","No","Yes")</f>
        <v>Yes</v>
      </c>
      <c r="H309" s="4" t="str">
        <f aca="false">Orders_Raw!F309</f>
        <v>2</v>
      </c>
      <c r="I309" s="4" t="str">
        <f aca="false">IF(H309="","No",IF(H309&lt;=0,"No","Yes"))</f>
        <v>Yes</v>
      </c>
      <c r="J309" s="4" t="str">
        <f aca="false">Orders_Raw!E309</f>
        <v>Monitor</v>
      </c>
      <c r="K309" s="4" t="str">
        <f aca="false">Orders_Raw!H309</f>
        <v>2026-07-16 09:43</v>
      </c>
      <c r="L309" s="4" t="str">
        <f aca="false">IF(COUNTIF(Orders_Raw!$A$5:$A$539,A309)&gt;1,"YES","No")</f>
        <v>No</v>
      </c>
      <c r="M309" s="4" t="str">
        <f aca="false">IF(COUNTIFS($B$5:$B$539,B309,$D$5:$D$539,D309,$F$5:$F$539,F309)&gt;1,"YES","No")</f>
        <v>No</v>
      </c>
      <c r="N309" s="4" t="str">
        <f aca="false">IFERROR(INDEX(Customer_Master!$B$5:$B$64,MATCH(B309,Customer_Master!$A$5:$A$64,0)),"UNMATCHED")</f>
        <v>Ifeoma Chukwu</v>
      </c>
      <c r="O309" s="4" t="str">
        <f aca="false">IFERROR(INDEX(Customer_Master!$C$5:$C$64,MATCH(B309,Customer_Master!$A$5:$A$64,0)),"UNMATCHED")</f>
        <v>Loyal</v>
      </c>
      <c r="P309" s="4" t="str">
        <f aca="false">IFERROR(INDEX(Customer_Master!$D$5:$D$64,MATCH(B309,Customer_Master!$A$5:$A$64,0)),"UNMATCHED")</f>
        <v>Ibadan</v>
      </c>
      <c r="Q309" s="4" t="str">
        <f aca="false">IF(N309="UNMATCHED","Unmatched","Matched")</f>
        <v>Matched</v>
      </c>
      <c r="R309" s="4" t="str">
        <f aca="false">IF(OR(E309="No",G309="No",I309="No",L309="YES",Q309="Unmatched"),"NEEDS REVIEW","OK")</f>
        <v>NEEDS REVIEW</v>
      </c>
    </row>
    <row r="310" customFormat="false" ht="15" hidden="false" customHeight="false" outlineLevel="0" collapsed="false">
      <c r="A310" s="4" t="str">
        <f aca="false">Orders_Raw!A310</f>
        <v>ORD00198</v>
      </c>
      <c r="B310" s="4" t="str">
        <f aca="false">TRIM(UPPER(Orders_Raw!B310))</f>
        <v>CUSTO002</v>
      </c>
      <c r="C310" s="4" t="str">
        <f aca="false">PROPER(TRIM(Orders_Raw!C310))</f>
        <v>Tunde Ajayi</v>
      </c>
      <c r="D310" s="6" t="n">
        <f aca="false">IFERROR(DATEVALUE(Orders_Raw!D310),"")</f>
        <v>46176</v>
      </c>
      <c r="E310" s="4" t="str">
        <f aca="false">IF(D310="","No","Yes")</f>
        <v>Yes</v>
      </c>
      <c r="F310" s="4" t="n">
        <f aca="false">IFERROR(VALUE(SUBSTITUTE(SUBSTITUTE(SUBSTITUTE(Orders_Raw!G310,"$",""),"NGN",""),",","")),"")</f>
        <v>2161.34</v>
      </c>
      <c r="G310" s="4" t="str">
        <f aca="false">IF(F310="","No","Yes")</f>
        <v>Yes</v>
      </c>
      <c r="H310" s="4" t="str">
        <f aca="false">Orders_Raw!F310</f>
        <v>2</v>
      </c>
      <c r="I310" s="4" t="str">
        <f aca="false">IF(H310="","No",IF(H310&lt;=0,"No","Yes"))</f>
        <v>Yes</v>
      </c>
      <c r="J310" s="4" t="str">
        <f aca="false">Orders_Raw!E310</f>
        <v>Tablet</v>
      </c>
      <c r="K310" s="4" t="str">
        <f aca="false">Orders_Raw!H310</f>
        <v>2026-06-03 11:36</v>
      </c>
      <c r="L310" s="4" t="str">
        <f aca="false">IF(COUNTIF(Orders_Raw!$A$5:$A$539,A310)&gt;1,"YES","No")</f>
        <v>No</v>
      </c>
      <c r="M310" s="4" t="str">
        <f aca="false">IF(COUNTIFS($B$5:$B$539,B310,$D$5:$D$539,D310,$F$5:$F$539,F310)&gt;1,"YES","No")</f>
        <v>No</v>
      </c>
      <c r="N310" s="4" t="str">
        <f aca="false">IFERROR(INDEX(Customer_Master!$B$5:$B$64,MATCH(B310,Customer_Master!$A$5:$A$64,0)),"UNMATCHED")</f>
        <v>UNMATCHED</v>
      </c>
      <c r="O310" s="4" t="str">
        <f aca="false">IFERROR(INDEX(Customer_Master!$C$5:$C$64,MATCH(B310,Customer_Master!$A$5:$A$64,0)),"UNMATCHED")</f>
        <v>UNMATCHED</v>
      </c>
      <c r="P310" s="4" t="str">
        <f aca="false">IFERROR(INDEX(Customer_Master!$D$5:$D$64,MATCH(B310,Customer_Master!$A$5:$A$64,0)),"UNMATCHED")</f>
        <v>UNMATCHED</v>
      </c>
      <c r="Q310" s="4" t="str">
        <f aca="false">IF(N310="UNMATCHED","Unmatched","Matched")</f>
        <v>Unmatched</v>
      </c>
      <c r="R310" s="4" t="str">
        <f aca="false">IF(OR(E310="No",G310="No",I310="No",L310="YES",Q310="Unmatched"),"NEEDS REVIEW","OK")</f>
        <v>NEEDS REVIEW</v>
      </c>
    </row>
    <row r="311" customFormat="false" ht="15" hidden="false" customHeight="false" outlineLevel="0" collapsed="false">
      <c r="A311" s="4" t="str">
        <f aca="false">Orders_Raw!A311</f>
        <v>ORD00437</v>
      </c>
      <c r="B311" s="4" t="str">
        <f aca="false">TRIM(UPPER(Orders_Raw!B311))</f>
        <v>CUST0004</v>
      </c>
      <c r="C311" s="4" t="str">
        <f aca="false">PROPER(TRIM(Orders_Raw!C311))</f>
        <v>Grace Duru</v>
      </c>
      <c r="D311" s="6" t="n">
        <f aca="false">IFERROR(DATEVALUE(Orders_Raw!D311),"")</f>
        <v>46060</v>
      </c>
      <c r="E311" s="4" t="str">
        <f aca="false">IF(D311="","No","Yes")</f>
        <v>Yes</v>
      </c>
      <c r="F311" s="4" t="n">
        <f aca="false">IFERROR(VALUE(SUBSTITUTE(SUBSTITUTE(SUBSTITUTE(Orders_Raw!G311,"$",""),"NGN",""),",","")),"")</f>
        <v>49.13</v>
      </c>
      <c r="G311" s="4" t="str">
        <f aca="false">IF(F311="","No","Yes")</f>
        <v>Yes</v>
      </c>
      <c r="H311" s="4" t="str">
        <f aca="false">Orders_Raw!F311</f>
        <v>2</v>
      </c>
      <c r="I311" s="4" t="str">
        <f aca="false">IF(H311="","No",IF(H311&lt;=0,"No","Yes"))</f>
        <v>Yes</v>
      </c>
      <c r="J311" s="4" t="str">
        <f aca="false">Orders_Raw!E311</f>
        <v>Charger</v>
      </c>
      <c r="K311" s="4" t="str">
        <f aca="false">Orders_Raw!H311</f>
        <v>2026-02-07 16:13</v>
      </c>
      <c r="L311" s="4" t="str">
        <f aca="false">IF(COUNTIF(Orders_Raw!$A$5:$A$539,A311)&gt;1,"YES","No")</f>
        <v>No</v>
      </c>
      <c r="M311" s="4" t="str">
        <f aca="false">IF(COUNTIFS($B$5:$B$539,B311,$D$5:$D$539,D311,$F$5:$F$539,F311)&gt;1,"YES","No")</f>
        <v>No</v>
      </c>
      <c r="N311" s="4" t="str">
        <f aca="false">IFERROR(INDEX(Customer_Master!$B$5:$B$64,MATCH(B311,Customer_Master!$A$5:$A$64,0)),"UNMATCHED")</f>
        <v>Grace Duru</v>
      </c>
      <c r="O311" s="4" t="str">
        <f aca="false">IFERROR(INDEX(Customer_Master!$C$5:$C$64,MATCH(B311,Customer_Master!$A$5:$A$64,0)),"UNMATCHED")</f>
        <v>Champions</v>
      </c>
      <c r="P311" s="4" t="str">
        <f aca="false">IFERROR(INDEX(Customer_Master!$D$5:$D$64,MATCH(B311,Customer_Master!$A$5:$A$64,0)),"UNMATCHED")</f>
        <v>Kano</v>
      </c>
      <c r="Q311" s="4" t="str">
        <f aca="false">IF(N311="UNMATCHED","Unmatched","Matched")</f>
        <v>Matched</v>
      </c>
      <c r="R311" s="4" t="str">
        <f aca="false">IF(OR(E311="No",G311="No",I311="No",L311="YES",Q311="Unmatched"),"NEEDS REVIEW","OK")</f>
        <v>OK</v>
      </c>
    </row>
    <row r="312" customFormat="false" ht="15" hidden="false" customHeight="false" outlineLevel="0" collapsed="false">
      <c r="A312" s="4" t="str">
        <f aca="false">Orders_Raw!A312</f>
        <v>ORD00001</v>
      </c>
      <c r="B312" s="4" t="str">
        <f aca="false">TRIM(UPPER(Orders_Raw!B312))</f>
        <v>CUST0013</v>
      </c>
      <c r="C312" s="4" t="str">
        <f aca="false">PROPER(TRIM(Orders_Raw!C312))</f>
        <v>Joy Lawal</v>
      </c>
      <c r="D312" s="6" t="n">
        <f aca="false">IFERROR(DATEVALUE(Orders_Raw!D312),"")</f>
        <v>46144</v>
      </c>
      <c r="E312" s="4" t="str">
        <f aca="false">IF(D312="","No","Yes")</f>
        <v>Yes</v>
      </c>
      <c r="F312" s="4" t="n">
        <f aca="false">IFERROR(VALUE(SUBSTITUTE(SUBSTITUTE(SUBSTITUTE(Orders_Raw!G312,"$",""),"NGN",""),",","")),"")</f>
        <v>470.97</v>
      </c>
      <c r="G312" s="4" t="str">
        <f aca="false">IF(F312="","No","Yes")</f>
        <v>Yes</v>
      </c>
      <c r="H312" s="4" t="str">
        <f aca="false">Orders_Raw!F312</f>
        <v>1</v>
      </c>
      <c r="I312" s="4" t="str">
        <f aca="false">IF(H312="","No",IF(H312&lt;=0,"No","Yes"))</f>
        <v>Yes</v>
      </c>
      <c r="J312" s="4" t="str">
        <f aca="false">Orders_Raw!E312</f>
        <v>Tablet</v>
      </c>
      <c r="K312" s="4" t="str">
        <f aca="false">Orders_Raw!H312</f>
        <v>2026-02-05 09:03</v>
      </c>
      <c r="L312" s="4" t="str">
        <f aca="false">IF(COUNTIF(Orders_Raw!$A$5:$A$539,A312)&gt;1,"YES","No")</f>
        <v>No</v>
      </c>
      <c r="M312" s="4" t="str">
        <f aca="false">IF(COUNTIFS($B$5:$B$539,B312,$D$5:$D$539,D312,$F$5:$F$539,F312)&gt;1,"YES","No")</f>
        <v>No</v>
      </c>
      <c r="N312" s="4" t="str">
        <f aca="false">IFERROR(INDEX(Customer_Master!$B$5:$B$64,MATCH(B312,Customer_Master!$A$5:$A$64,0)),"UNMATCHED")</f>
        <v>Joy Lawal</v>
      </c>
      <c r="O312" s="4" t="str">
        <f aca="false">IFERROR(INDEX(Customer_Master!$C$5:$C$64,MATCH(B312,Customer_Master!$A$5:$A$64,0)),"UNMATCHED")</f>
        <v>Lost / Low-Value</v>
      </c>
      <c r="P312" s="4" t="str">
        <f aca="false">IFERROR(INDEX(Customer_Master!$D$5:$D$64,MATCH(B312,Customer_Master!$A$5:$A$64,0)),"UNMATCHED")</f>
        <v>Abuja</v>
      </c>
      <c r="Q312" s="4" t="str">
        <f aca="false">IF(N312="UNMATCHED","Unmatched","Matched")</f>
        <v>Matched</v>
      </c>
      <c r="R312" s="4" t="str">
        <f aca="false">IF(OR(E312="No",G312="No",I312="No",L312="YES",Q312="Unmatched"),"NEEDS REVIEW","OK")</f>
        <v>OK</v>
      </c>
    </row>
    <row r="313" customFormat="false" ht="15" hidden="false" customHeight="false" outlineLevel="0" collapsed="false">
      <c r="A313" s="4" t="str">
        <f aca="false">Orders_Raw!A313</f>
        <v>ORD00373</v>
      </c>
      <c r="B313" s="4" t="str">
        <f aca="false">TRIM(UPPER(Orders_Raw!B313))</f>
        <v>CUST0056</v>
      </c>
      <c r="C313" s="4" t="str">
        <f aca="false">PROPER(TRIM(Orders_Raw!C313))</f>
        <v>Tunde Yakubu</v>
      </c>
      <c r="D313" s="6" t="n">
        <f aca="false">IFERROR(DATEVALUE(Orders_Raw!D313),"")</f>
        <v>46137</v>
      </c>
      <c r="E313" s="4" t="str">
        <f aca="false">IF(D313="","No","Yes")</f>
        <v>Yes</v>
      </c>
      <c r="F313" s="4" t="n">
        <f aca="false">IFERROR(VALUE(SUBSTITUTE(SUBSTITUTE(SUBSTITUTE(Orders_Raw!G313,"$",""),"NGN",""),",","")),"")</f>
        <v>264.19</v>
      </c>
      <c r="G313" s="4" t="str">
        <f aca="false">IF(F313="","No","Yes")</f>
        <v>Yes</v>
      </c>
      <c r="H313" s="4" t="str">
        <f aca="false">Orders_Raw!F313</f>
        <v>2</v>
      </c>
      <c r="I313" s="4" t="str">
        <f aca="false">IF(H313="","No",IF(H313&lt;=0,"No","Yes"))</f>
        <v>Yes</v>
      </c>
      <c r="J313" s="4" t="str">
        <f aca="false">Orders_Raw!E313</f>
        <v>Speaker</v>
      </c>
      <c r="K313" s="4" t="str">
        <f aca="false">Orders_Raw!H313</f>
        <v>2026-04-25 18:45</v>
      </c>
      <c r="L313" s="4" t="str">
        <f aca="false">IF(COUNTIF(Orders_Raw!$A$5:$A$539,A313)&gt;1,"YES","No")</f>
        <v>No</v>
      </c>
      <c r="M313" s="4" t="str">
        <f aca="false">IF(COUNTIFS($B$5:$B$539,B313,$D$5:$D$539,D313,$F$5:$F$539,F313)&gt;1,"YES","No")</f>
        <v>No</v>
      </c>
      <c r="N313" s="4" t="str">
        <f aca="false">IFERROR(INDEX(Customer_Master!$B$5:$B$64,MATCH(B313,Customer_Master!$A$5:$A$64,0)),"UNMATCHED")</f>
        <v>Tunde Yakubu</v>
      </c>
      <c r="O313" s="4" t="str">
        <f aca="false">IFERROR(INDEX(Customer_Master!$C$5:$C$64,MATCH(B313,Customer_Master!$A$5:$A$64,0)),"UNMATCHED")</f>
        <v>Lost / Low-Value</v>
      </c>
      <c r="P313" s="4" t="str">
        <f aca="false">IFERROR(INDEX(Customer_Master!$D$5:$D$64,MATCH(B313,Customer_Master!$A$5:$A$64,0)),"UNMATCHED")</f>
        <v>Kano</v>
      </c>
      <c r="Q313" s="4" t="str">
        <f aca="false">IF(N313="UNMATCHED","Unmatched","Matched")</f>
        <v>Matched</v>
      </c>
      <c r="R313" s="4" t="str">
        <f aca="false">IF(OR(E313="No",G313="No",I313="No",L313="YES",Q313="Unmatched"),"NEEDS REVIEW","OK")</f>
        <v>OK</v>
      </c>
    </row>
    <row r="314" customFormat="false" ht="15" hidden="false" customHeight="false" outlineLevel="0" collapsed="false">
      <c r="A314" s="4" t="str">
        <f aca="false">Orders_Raw!A314</f>
        <v>ORD00190</v>
      </c>
      <c r="B314" s="4" t="str">
        <f aca="false">TRIM(UPPER(Orders_Raw!B314))</f>
        <v>CUST0015</v>
      </c>
      <c r="C314" s="4" t="str">
        <f aca="false">PROPER(TRIM(Orders_Raw!C314))</f>
        <v>Ahmed Nwosu</v>
      </c>
      <c r="D314" s="6" t="str">
        <f aca="false">IFERROR(DATEVALUE(Orders_Raw!D314),"")</f>
        <v/>
      </c>
      <c r="E314" s="4" t="str">
        <f aca="false">IF(D314="","No","Yes")</f>
        <v>No</v>
      </c>
      <c r="F314" s="4" t="n">
        <f aca="false">IFERROR(VALUE(SUBSTITUTE(SUBSTITUTE(SUBSTITUTE(Orders_Raw!G314,"$",""),"NGN",""),",","")),"")</f>
        <v>247.35</v>
      </c>
      <c r="G314" s="4" t="str">
        <f aca="false">IF(F314="","No","Yes")</f>
        <v>Yes</v>
      </c>
      <c r="H314" s="4" t="str">
        <f aca="false">Orders_Raw!F314</f>
        <v>2</v>
      </c>
      <c r="I314" s="4" t="str">
        <f aca="false">IF(H314="","No",IF(H314&lt;=0,"No","Yes"))</f>
        <v>Yes</v>
      </c>
      <c r="J314" s="4" t="str">
        <f aca="false">Orders_Raw!E314</f>
        <v>Laptop</v>
      </c>
      <c r="K314" s="4" t="str">
        <f aca="false">Orders_Raw!H314</f>
        <v>2026-06-17 10:05</v>
      </c>
      <c r="L314" s="4" t="str">
        <f aca="false">IF(COUNTIF(Orders_Raw!$A$5:$A$539,A314)&gt;1,"YES","No")</f>
        <v>No</v>
      </c>
      <c r="M314" s="4" t="str">
        <f aca="false">IF(COUNTIFS($B$5:$B$539,B314,$D$5:$D$539,D314,$F$5:$F$539,F314)&gt;1,"YES","No")</f>
        <v>No</v>
      </c>
      <c r="N314" s="4" t="str">
        <f aca="false">IFERROR(INDEX(Customer_Master!$B$5:$B$64,MATCH(B314,Customer_Master!$A$5:$A$64,0)),"UNMATCHED")</f>
        <v>Ahmed Nwosu</v>
      </c>
      <c r="O314" s="4" t="str">
        <f aca="false">IFERROR(INDEX(Customer_Master!$C$5:$C$64,MATCH(B314,Customer_Master!$A$5:$A$64,0)),"UNMATCHED")</f>
        <v>Champions</v>
      </c>
      <c r="P314" s="4" t="str">
        <f aca="false">IFERROR(INDEX(Customer_Master!$D$5:$D$64,MATCH(B314,Customer_Master!$A$5:$A$64,0)),"UNMATCHED")</f>
        <v>Lagos</v>
      </c>
      <c r="Q314" s="4" t="str">
        <f aca="false">IF(N314="UNMATCHED","Unmatched","Matched")</f>
        <v>Matched</v>
      </c>
      <c r="R314" s="4" t="str">
        <f aca="false">IF(OR(E314="No",G314="No",I314="No",L314="YES",Q314="Unmatched"),"NEEDS REVIEW","OK")</f>
        <v>NEEDS REVIEW</v>
      </c>
    </row>
    <row r="315" customFormat="false" ht="15" hidden="false" customHeight="false" outlineLevel="0" collapsed="false">
      <c r="A315" s="4" t="str">
        <f aca="false">Orders_Raw!A315</f>
        <v>ORD00095</v>
      </c>
      <c r="B315" s="4" t="str">
        <f aca="false">TRIM(UPPER(Orders_Raw!B315))</f>
        <v>CUST0043</v>
      </c>
      <c r="C315" s="4" t="str">
        <f aca="false">PROPER(TRIM(Orders_Raw!C315))</f>
        <v>Grace Ajayi</v>
      </c>
      <c r="D315" s="6" t="str">
        <f aca="false">IFERROR(DATEVALUE(Orders_Raw!D315),"")</f>
        <v/>
      </c>
      <c r="E315" s="4" t="str">
        <f aca="false">IF(D315="","No","Yes")</f>
        <v>No</v>
      </c>
      <c r="F315" s="4" t="n">
        <f aca="false">IFERROR(VALUE(SUBSTITUTE(SUBSTITUTE(SUBSTITUTE(Orders_Raw!G315,"$",""),"NGN",""),",","")),"")</f>
        <v>693.82</v>
      </c>
      <c r="G315" s="4" t="str">
        <f aca="false">IF(F315="","No","Yes")</f>
        <v>Yes</v>
      </c>
      <c r="H315" s="4" t="str">
        <f aca="false">Orders_Raw!F315</f>
        <v>1</v>
      </c>
      <c r="I315" s="4" t="str">
        <f aca="false">IF(H315="","No",IF(H315&lt;=0,"No","Yes"))</f>
        <v>Yes</v>
      </c>
      <c r="J315" s="4" t="str">
        <f aca="false">Orders_Raw!E315</f>
        <v>Speaker</v>
      </c>
      <c r="K315" s="4" t="str">
        <f aca="false">Orders_Raw!H315</f>
        <v>2026-04-24 15:33</v>
      </c>
      <c r="L315" s="4" t="str">
        <f aca="false">IF(COUNTIF(Orders_Raw!$A$5:$A$539,A315)&gt;1,"YES","No")</f>
        <v>No</v>
      </c>
      <c r="M315" s="4" t="str">
        <f aca="false">IF(COUNTIFS($B$5:$B$539,B315,$D$5:$D$539,D315,$F$5:$F$539,F315)&gt;1,"YES","No")</f>
        <v>No</v>
      </c>
      <c r="N315" s="4" t="str">
        <f aca="false">IFERROR(INDEX(Customer_Master!$B$5:$B$64,MATCH(B315,Customer_Master!$A$5:$A$64,0)),"UNMATCHED")</f>
        <v>Grace Ajayi</v>
      </c>
      <c r="O315" s="4" t="str">
        <f aca="false">IFERROR(INDEX(Customer_Master!$C$5:$C$64,MATCH(B315,Customer_Master!$A$5:$A$64,0)),"UNMATCHED")</f>
        <v>New</v>
      </c>
      <c r="P315" s="4" t="str">
        <f aca="false">IFERROR(INDEX(Customer_Master!$D$5:$D$64,MATCH(B315,Customer_Master!$A$5:$A$64,0)),"UNMATCHED")</f>
        <v>Abuja</v>
      </c>
      <c r="Q315" s="4" t="str">
        <f aca="false">IF(N315="UNMATCHED","Unmatched","Matched")</f>
        <v>Matched</v>
      </c>
      <c r="R315" s="4" t="str">
        <f aca="false">IF(OR(E315="No",G315="No",I315="No",L315="YES",Q315="Unmatched"),"NEEDS REVIEW","OK")</f>
        <v>NEEDS REVIEW</v>
      </c>
    </row>
    <row r="316" customFormat="false" ht="15" hidden="false" customHeight="false" outlineLevel="0" collapsed="false">
      <c r="A316" s="4" t="str">
        <f aca="false">Orders_Raw!A316</f>
        <v>ORD00208</v>
      </c>
      <c r="B316" s="4" t="str">
        <f aca="false">TRIM(UPPER(Orders_Raw!B316))</f>
        <v>CUST0017</v>
      </c>
      <c r="C316" s="4" t="str">
        <f aca="false">PROPER(TRIM(Orders_Raw!C316))</f>
        <v>Ibrahim Ajayi</v>
      </c>
      <c r="D316" s="6" t="n">
        <f aca="false">IFERROR(DATEVALUE(Orders_Raw!D316),"")</f>
        <v>46165</v>
      </c>
      <c r="E316" s="4" t="str">
        <f aca="false">IF(D316="","No","Yes")</f>
        <v>Yes</v>
      </c>
      <c r="F316" s="4" t="n">
        <f aca="false">IFERROR(VALUE(SUBSTITUTE(SUBSTITUTE(SUBSTITUTE(Orders_Raw!G316,"$",""),"NGN",""),",","")),"")</f>
        <v>1723.85</v>
      </c>
      <c r="G316" s="4" t="str">
        <f aca="false">IF(F316="","No","Yes")</f>
        <v>Yes</v>
      </c>
      <c r="H316" s="4" t="str">
        <f aca="false">Orders_Raw!F316</f>
        <v>2</v>
      </c>
      <c r="I316" s="4" t="str">
        <f aca="false">IF(H316="","No",IF(H316&lt;=0,"No","Yes"))</f>
        <v>Yes</v>
      </c>
      <c r="J316" s="4" t="str">
        <f aca="false">Orders_Raw!E316</f>
        <v>Speaker</v>
      </c>
      <c r="K316" s="4" t="str">
        <f aca="false">Orders_Raw!H316</f>
        <v>2026-05-23 16:09</v>
      </c>
      <c r="L316" s="4" t="str">
        <f aca="false">IF(COUNTIF(Orders_Raw!$A$5:$A$539,A316)&gt;1,"YES","No")</f>
        <v>No</v>
      </c>
      <c r="M316" s="4" t="str">
        <f aca="false">IF(COUNTIFS($B$5:$B$539,B316,$D$5:$D$539,D316,$F$5:$F$539,F316)&gt;1,"YES","No")</f>
        <v>No</v>
      </c>
      <c r="N316" s="4" t="str">
        <f aca="false">IFERROR(INDEX(Customer_Master!$B$5:$B$64,MATCH(B316,Customer_Master!$A$5:$A$64,0)),"UNMATCHED")</f>
        <v>Ibrahim Ajayi</v>
      </c>
      <c r="O316" s="4" t="str">
        <f aca="false">IFERROR(INDEX(Customer_Master!$C$5:$C$64,MATCH(B316,Customer_Master!$A$5:$A$64,0)),"UNMATCHED")</f>
        <v>Champions</v>
      </c>
      <c r="P316" s="4" t="str">
        <f aca="false">IFERROR(INDEX(Customer_Master!$D$5:$D$64,MATCH(B316,Customer_Master!$A$5:$A$64,0)),"UNMATCHED")</f>
        <v>Enugu</v>
      </c>
      <c r="Q316" s="4" t="str">
        <f aca="false">IF(N316="UNMATCHED","Unmatched","Matched")</f>
        <v>Matched</v>
      </c>
      <c r="R316" s="4" t="str">
        <f aca="false">IF(OR(E316="No",G316="No",I316="No",L316="YES",Q316="Unmatched"),"NEEDS REVIEW","OK")</f>
        <v>OK</v>
      </c>
    </row>
    <row r="317" customFormat="false" ht="15" hidden="false" customHeight="false" outlineLevel="0" collapsed="false">
      <c r="A317" s="4" t="str">
        <f aca="false">Orders_Raw!A317</f>
        <v>ORD00071</v>
      </c>
      <c r="B317" s="4" t="str">
        <f aca="false">TRIM(UPPER(Orders_Raw!B317))</f>
        <v>CUST0019</v>
      </c>
      <c r="C317" s="4" t="str">
        <f aca="false">PROPER(TRIM(Orders_Raw!C317))</f>
        <v>Ifeoma Chukwu</v>
      </c>
      <c r="D317" s="6" t="n">
        <f aca="false">IFERROR(DATEVALUE(Orders_Raw!D317),"")</f>
        <v>46025</v>
      </c>
      <c r="E317" s="4" t="str">
        <f aca="false">IF(D317="","No","Yes")</f>
        <v>Yes</v>
      </c>
      <c r="F317" s="4" t="n">
        <f aca="false">IFERROR(VALUE(SUBSTITUTE(SUBSTITUTE(SUBSTITUTE(Orders_Raw!G317,"$",""),"NGN",""),",","")),"")</f>
        <v>2164.69</v>
      </c>
      <c r="G317" s="4" t="str">
        <f aca="false">IF(F317="","No","Yes")</f>
        <v>Yes</v>
      </c>
      <c r="H317" s="4" t="str">
        <f aca="false">Orders_Raw!F317</f>
        <v>3</v>
      </c>
      <c r="I317" s="4" t="str">
        <f aca="false">IF(H317="","No",IF(H317&lt;=0,"No","Yes"))</f>
        <v>Yes</v>
      </c>
      <c r="J317" s="4" t="str">
        <f aca="false">Orders_Raw!E317</f>
        <v>Mouse</v>
      </c>
      <c r="K317" s="4" t="str">
        <f aca="false">Orders_Raw!H317</f>
        <v>2026-01-03 11:38</v>
      </c>
      <c r="L317" s="4" t="str">
        <f aca="false">IF(COUNTIF(Orders_Raw!$A$5:$A$539,A317)&gt;1,"YES","No")</f>
        <v>No</v>
      </c>
      <c r="M317" s="4" t="str">
        <f aca="false">IF(COUNTIFS($B$5:$B$539,B317,$D$5:$D$539,D317,$F$5:$F$539,F317)&gt;1,"YES","No")</f>
        <v>No</v>
      </c>
      <c r="N317" s="4" t="str">
        <f aca="false">IFERROR(INDEX(Customer_Master!$B$5:$B$64,MATCH(B317,Customer_Master!$A$5:$A$64,0)),"UNMATCHED")</f>
        <v>Ifeoma Chukwu</v>
      </c>
      <c r="O317" s="4" t="str">
        <f aca="false">IFERROR(INDEX(Customer_Master!$C$5:$C$64,MATCH(B317,Customer_Master!$A$5:$A$64,0)),"UNMATCHED")</f>
        <v>Loyal</v>
      </c>
      <c r="P317" s="4" t="str">
        <f aca="false">IFERROR(INDEX(Customer_Master!$D$5:$D$64,MATCH(B317,Customer_Master!$A$5:$A$64,0)),"UNMATCHED")</f>
        <v>Ibadan</v>
      </c>
      <c r="Q317" s="4" t="str">
        <f aca="false">IF(N317="UNMATCHED","Unmatched","Matched")</f>
        <v>Matched</v>
      </c>
      <c r="R317" s="4" t="str">
        <f aca="false">IF(OR(E317="No",G317="No",I317="No",L317="YES",Q317="Unmatched"),"NEEDS REVIEW","OK")</f>
        <v>OK</v>
      </c>
    </row>
    <row r="318" customFormat="false" ht="15" hidden="false" customHeight="false" outlineLevel="0" collapsed="false">
      <c r="A318" s="4" t="str">
        <f aca="false">Orders_Raw!A318</f>
        <v>ORD00481</v>
      </c>
      <c r="B318" s="4" t="str">
        <f aca="false">TRIM(UPPER(Orders_Raw!B318))</f>
        <v>CUST0024</v>
      </c>
      <c r="C318" s="4" t="str">
        <f aca="false">PROPER(TRIM(Orders_Raw!C318))</f>
        <v>Aisha Adeyemi</v>
      </c>
      <c r="D318" s="6" t="str">
        <f aca="false">IFERROR(DATEVALUE(Orders_Raw!D318),"")</f>
        <v/>
      </c>
      <c r="E318" s="4" t="str">
        <f aca="false">IF(D318="","No","Yes")</f>
        <v>No</v>
      </c>
      <c r="F318" s="4" t="n">
        <f aca="false">IFERROR(VALUE(SUBSTITUTE(SUBSTITUTE(SUBSTITUTE(Orders_Raw!G318,"$",""),"NGN",""),",","")),"")</f>
        <v>1226.45</v>
      </c>
      <c r="G318" s="4" t="str">
        <f aca="false">IF(F318="","No","Yes")</f>
        <v>Yes</v>
      </c>
      <c r="H318" s="4" t="str">
        <f aca="false">Orders_Raw!F318</f>
        <v>2</v>
      </c>
      <c r="I318" s="4" t="str">
        <f aca="false">IF(H318="","No",IF(H318&lt;=0,"No","Yes"))</f>
        <v>Yes</v>
      </c>
      <c r="J318" s="4" t="str">
        <f aca="false">Orders_Raw!E318</f>
        <v>Headphones</v>
      </c>
      <c r="K318" s="4" t="str">
        <f aca="false">Orders_Raw!H318</f>
        <v>2026-03-25 12:49</v>
      </c>
      <c r="L318" s="4" t="str">
        <f aca="false">IF(COUNTIF(Orders_Raw!$A$5:$A$539,A318)&gt;1,"YES","No")</f>
        <v>No</v>
      </c>
      <c r="M318" s="4" t="str">
        <f aca="false">IF(COUNTIFS($B$5:$B$539,B318,$D$5:$D$539,D318,$F$5:$F$539,F318)&gt;1,"YES","No")</f>
        <v>No</v>
      </c>
      <c r="N318" s="4" t="str">
        <f aca="false">IFERROR(INDEX(Customer_Master!$B$5:$B$64,MATCH(B318,Customer_Master!$A$5:$A$64,0)),"UNMATCHED")</f>
        <v>Aisha Adeyemi</v>
      </c>
      <c r="O318" s="4" t="str">
        <f aca="false">IFERROR(INDEX(Customer_Master!$C$5:$C$64,MATCH(B318,Customer_Master!$A$5:$A$64,0)),"UNMATCHED")</f>
        <v>At Risk</v>
      </c>
      <c r="P318" s="4" t="str">
        <f aca="false">IFERROR(INDEX(Customer_Master!$D$5:$D$64,MATCH(B318,Customer_Master!$A$5:$A$64,0)),"UNMATCHED")</f>
        <v>Enugu</v>
      </c>
      <c r="Q318" s="4" t="str">
        <f aca="false">IF(N318="UNMATCHED","Unmatched","Matched")</f>
        <v>Matched</v>
      </c>
      <c r="R318" s="4" t="str">
        <f aca="false">IF(OR(E318="No",G318="No",I318="No",L318="YES",Q318="Unmatched"),"NEEDS REVIEW","OK")</f>
        <v>NEEDS REVIEW</v>
      </c>
    </row>
    <row r="319" customFormat="false" ht="15" hidden="false" customHeight="false" outlineLevel="0" collapsed="false">
      <c r="A319" s="4" t="str">
        <f aca="false">Orders_Raw!A319</f>
        <v>ORD00404</v>
      </c>
      <c r="B319" s="4" t="str">
        <f aca="false">TRIM(UPPER(Orders_Raw!B319))</f>
        <v>CUST0011</v>
      </c>
      <c r="C319" s="4" t="str">
        <f aca="false">PROPER(TRIM(Orders_Raw!C319))</f>
        <v>Musa Lawal</v>
      </c>
      <c r="D319" s="6" t="n">
        <f aca="false">IFERROR(DATEVALUE(Orders_Raw!D319),"")</f>
        <v>46119</v>
      </c>
      <c r="E319" s="4" t="str">
        <f aca="false">IF(D319="","No","Yes")</f>
        <v>Yes</v>
      </c>
      <c r="F319" s="4" t="n">
        <f aca="false">IFERROR(VALUE(SUBSTITUTE(SUBSTITUTE(SUBSTITUTE(Orders_Raw!G319,"$",""),"NGN",""),",","")),"")</f>
        <v>668.51</v>
      </c>
      <c r="G319" s="4" t="str">
        <f aca="false">IF(F319="","No","Yes")</f>
        <v>Yes</v>
      </c>
      <c r="H319" s="4" t="str">
        <f aca="false">Orders_Raw!F319</f>
        <v>4</v>
      </c>
      <c r="I319" s="4" t="str">
        <f aca="false">IF(H319="","No",IF(H319&lt;=0,"No","Yes"))</f>
        <v>Yes</v>
      </c>
      <c r="J319" s="4" t="str">
        <f aca="false">Orders_Raw!E319</f>
        <v>Speaker</v>
      </c>
      <c r="K319" s="4" t="str">
        <f aca="false">Orders_Raw!H319</f>
        <v>2026-04-07 18:17</v>
      </c>
      <c r="L319" s="4" t="str">
        <f aca="false">IF(COUNTIF(Orders_Raw!$A$5:$A$539,A319)&gt;1,"YES","No")</f>
        <v>No</v>
      </c>
      <c r="M319" s="4" t="str">
        <f aca="false">IF(COUNTIFS($B$5:$B$539,B319,$D$5:$D$539,D319,$F$5:$F$539,F319)&gt;1,"YES","No")</f>
        <v>No</v>
      </c>
      <c r="N319" s="4" t="str">
        <f aca="false">IFERROR(INDEX(Customer_Master!$B$5:$B$64,MATCH(B319,Customer_Master!$A$5:$A$64,0)),"UNMATCHED")</f>
        <v>Musa Lawal</v>
      </c>
      <c r="O319" s="4" t="str">
        <f aca="false">IFERROR(INDEX(Customer_Master!$C$5:$C$64,MATCH(B319,Customer_Master!$A$5:$A$64,0)),"UNMATCHED")</f>
        <v>At Risk</v>
      </c>
      <c r="P319" s="4" t="str">
        <f aca="false">IFERROR(INDEX(Customer_Master!$D$5:$D$64,MATCH(B319,Customer_Master!$A$5:$A$64,0)),"UNMATCHED")</f>
        <v>Jos</v>
      </c>
      <c r="Q319" s="4" t="str">
        <f aca="false">IF(N319="UNMATCHED","Unmatched","Matched")</f>
        <v>Matched</v>
      </c>
      <c r="R319" s="4" t="str">
        <f aca="false">IF(OR(E319="No",G319="No",I319="No",L319="YES",Q319="Unmatched"),"NEEDS REVIEW","OK")</f>
        <v>OK</v>
      </c>
    </row>
    <row r="320" customFormat="false" ht="15" hidden="false" customHeight="false" outlineLevel="0" collapsed="false">
      <c r="A320" s="4" t="str">
        <f aca="false">Orders_Raw!A320</f>
        <v>ORD00013</v>
      </c>
      <c r="B320" s="4" t="str">
        <f aca="false">TRIM(UPPER(Orders_Raw!B320))</f>
        <v>CUST0044</v>
      </c>
      <c r="C320" s="4" t="str">
        <f aca="false">PROPER(TRIM(Orders_Raw!C320))</f>
        <v>Emeka Yakubu</v>
      </c>
      <c r="D320" s="6" t="n">
        <f aca="false">IFERROR(DATEVALUE(Orders_Raw!D320),"")</f>
        <v>46113</v>
      </c>
      <c r="E320" s="4" t="str">
        <f aca="false">IF(D320="","No","Yes")</f>
        <v>Yes</v>
      </c>
      <c r="F320" s="4" t="n">
        <f aca="false">IFERROR(VALUE(SUBSTITUTE(SUBSTITUTE(SUBSTITUTE(Orders_Raw!G320,"$",""),"NGN",""),",","")),"")</f>
        <v>2212.07</v>
      </c>
      <c r="G320" s="4" t="str">
        <f aca="false">IF(F320="","No","Yes")</f>
        <v>Yes</v>
      </c>
      <c r="H320" s="4" t="str">
        <f aca="false">Orders_Raw!F320</f>
        <v>3</v>
      </c>
      <c r="I320" s="4" t="str">
        <f aca="false">IF(H320="","No",IF(H320&lt;=0,"No","Yes"))</f>
        <v>Yes</v>
      </c>
      <c r="J320" s="4" t="str">
        <f aca="false">Orders_Raw!E320</f>
        <v>Charger</v>
      </c>
      <c r="K320" s="4" t="str">
        <f aca="false">Orders_Raw!H320</f>
        <v>2026-04-01 10:51</v>
      </c>
      <c r="L320" s="4" t="str">
        <f aca="false">IF(COUNTIF(Orders_Raw!$A$5:$A$539,A320)&gt;1,"YES","No")</f>
        <v>No</v>
      </c>
      <c r="M320" s="4" t="str">
        <f aca="false">IF(COUNTIFS($B$5:$B$539,B320,$D$5:$D$539,D320,$F$5:$F$539,F320)&gt;1,"YES","No")</f>
        <v>No</v>
      </c>
      <c r="N320" s="4" t="str">
        <f aca="false">IFERROR(INDEX(Customer_Master!$B$5:$B$64,MATCH(B320,Customer_Master!$A$5:$A$64,0)),"UNMATCHED")</f>
        <v>Emeka Yakubu</v>
      </c>
      <c r="O320" s="4" t="str">
        <f aca="false">IFERROR(INDEX(Customer_Master!$C$5:$C$64,MATCH(B320,Customer_Master!$A$5:$A$64,0)),"UNMATCHED")</f>
        <v>Champions</v>
      </c>
      <c r="P320" s="4" t="str">
        <f aca="false">IFERROR(INDEX(Customer_Master!$D$5:$D$64,MATCH(B320,Customer_Master!$A$5:$A$64,0)),"UNMATCHED")</f>
        <v>Port Harcourt</v>
      </c>
      <c r="Q320" s="4" t="str">
        <f aca="false">IF(N320="UNMATCHED","Unmatched","Matched")</f>
        <v>Matched</v>
      </c>
      <c r="R320" s="4" t="str">
        <f aca="false">IF(OR(E320="No",G320="No",I320="No",L320="YES",Q320="Unmatched"),"NEEDS REVIEW","OK")</f>
        <v>OK</v>
      </c>
    </row>
    <row r="321" customFormat="false" ht="15" hidden="false" customHeight="false" outlineLevel="0" collapsed="false">
      <c r="A321" s="4" t="str">
        <f aca="false">Orders_Raw!A321</f>
        <v>ORD00299</v>
      </c>
      <c r="B321" s="4" t="str">
        <f aca="false">TRIM(UPPER(Orders_Raw!B321))</f>
        <v>CUST0038</v>
      </c>
      <c r="C321" s="4" t="str">
        <f aca="false">PROPER(TRIM(Orders_Raw!C321))</f>
        <v>James Sani</v>
      </c>
      <c r="D321" s="6" t="n">
        <f aca="false">IFERROR(DATEVALUE(Orders_Raw!D321),"")</f>
        <v>46143</v>
      </c>
      <c r="E321" s="4" t="str">
        <f aca="false">IF(D321="","No","Yes")</f>
        <v>Yes</v>
      </c>
      <c r="F321" s="4" t="n">
        <f aca="false">IFERROR(VALUE(SUBSTITUTE(SUBSTITUTE(SUBSTITUTE(Orders_Raw!G321,"$",""),"NGN",""),",","")),"")</f>
        <v>1258.69</v>
      </c>
      <c r="G321" s="4" t="str">
        <f aca="false">IF(F321="","No","Yes")</f>
        <v>Yes</v>
      </c>
      <c r="H321" s="4" t="str">
        <f aca="false">Orders_Raw!F321</f>
        <v>3</v>
      </c>
      <c r="I321" s="4" t="str">
        <f aca="false">IF(H321="","No",IF(H321&lt;=0,"No","Yes"))</f>
        <v>Yes</v>
      </c>
      <c r="J321" s="4" t="str">
        <f aca="false">Orders_Raw!E321</f>
        <v>Headphones</v>
      </c>
      <c r="K321" s="4" t="str">
        <f aca="false">Orders_Raw!H321</f>
        <v>2026-05-01 10:12</v>
      </c>
      <c r="L321" s="4" t="str">
        <f aca="false">IF(COUNTIF(Orders_Raw!$A$5:$A$539,A321)&gt;1,"YES","No")</f>
        <v>No</v>
      </c>
      <c r="M321" s="4" t="str">
        <f aca="false">IF(COUNTIFS($B$5:$B$539,B321,$D$5:$D$539,D321,$F$5:$F$539,F321)&gt;1,"YES","No")</f>
        <v>No</v>
      </c>
      <c r="N321" s="4" t="str">
        <f aca="false">IFERROR(INDEX(Customer_Master!$B$5:$B$64,MATCH(B321,Customer_Master!$A$5:$A$64,0)),"UNMATCHED")</f>
        <v>James Sani</v>
      </c>
      <c r="O321" s="4" t="str">
        <f aca="false">IFERROR(INDEX(Customer_Master!$C$5:$C$64,MATCH(B321,Customer_Master!$A$5:$A$64,0)),"UNMATCHED")</f>
        <v>New</v>
      </c>
      <c r="P321" s="4" t="str">
        <f aca="false">IFERROR(INDEX(Customer_Master!$D$5:$D$64,MATCH(B321,Customer_Master!$A$5:$A$64,0)),"UNMATCHED")</f>
        <v>Port Harcourt</v>
      </c>
      <c r="Q321" s="4" t="str">
        <f aca="false">IF(N321="UNMATCHED","Unmatched","Matched")</f>
        <v>Matched</v>
      </c>
      <c r="R321" s="4" t="str">
        <f aca="false">IF(OR(E321="No",G321="No",I321="No",L321="YES",Q321="Unmatched"),"NEEDS REVIEW","OK")</f>
        <v>OK</v>
      </c>
    </row>
    <row r="322" customFormat="false" ht="15" hidden="false" customHeight="false" outlineLevel="0" collapsed="false">
      <c r="A322" s="4" t="str">
        <f aca="false">Orders_Raw!A322</f>
        <v>ORD00293</v>
      </c>
      <c r="B322" s="4" t="str">
        <f aca="false">TRIM(UPPER(Orders_Raw!B322))</f>
        <v>CUST0034</v>
      </c>
      <c r="C322" s="4" t="str">
        <f aca="false">PROPER(TRIM(Orders_Raw!C322))</f>
        <v>Samuel Sani</v>
      </c>
      <c r="D322" s="6" t="str">
        <f aca="false">IFERROR(DATEVALUE(Orders_Raw!D322),"")</f>
        <v/>
      </c>
      <c r="E322" s="4" t="str">
        <f aca="false">IF(D322="","No","Yes")</f>
        <v>No</v>
      </c>
      <c r="F322" s="4" t="n">
        <f aca="false">IFERROR(VALUE(SUBSTITUTE(SUBSTITUTE(SUBSTITUTE(Orders_Raw!G322,"$",""),"NGN",""),",","")),"")</f>
        <v>33.26</v>
      </c>
      <c r="G322" s="4" t="str">
        <f aca="false">IF(F322="","No","Yes")</f>
        <v>Yes</v>
      </c>
      <c r="H322" s="4" t="str">
        <f aca="false">Orders_Raw!F322</f>
        <v>3</v>
      </c>
      <c r="I322" s="4" t="str">
        <f aca="false">IF(H322="","No",IF(H322&lt;=0,"No","Yes"))</f>
        <v>Yes</v>
      </c>
      <c r="J322" s="4" t="str">
        <f aca="false">Orders_Raw!E322</f>
        <v>Mouse</v>
      </c>
      <c r="K322" s="4" t="str">
        <f aca="false">Orders_Raw!H322</f>
        <v>2026-05-30 18:06</v>
      </c>
      <c r="L322" s="4" t="str">
        <f aca="false">IF(COUNTIF(Orders_Raw!$A$5:$A$539,A322)&gt;1,"YES","No")</f>
        <v>No</v>
      </c>
      <c r="M322" s="4" t="str">
        <f aca="false">IF(COUNTIFS($B$5:$B$539,B322,$D$5:$D$539,D322,$F$5:$F$539,F322)&gt;1,"YES","No")</f>
        <v>No</v>
      </c>
      <c r="N322" s="4" t="str">
        <f aca="false">IFERROR(INDEX(Customer_Master!$B$5:$B$64,MATCH(B322,Customer_Master!$A$5:$A$64,0)),"UNMATCHED")</f>
        <v>Samuel Sani</v>
      </c>
      <c r="O322" s="4" t="str">
        <f aca="false">IFERROR(INDEX(Customer_Master!$C$5:$C$64,MATCH(B322,Customer_Master!$A$5:$A$64,0)),"UNMATCHED")</f>
        <v>New</v>
      </c>
      <c r="P322" s="4" t="str">
        <f aca="false">IFERROR(INDEX(Customer_Master!$D$5:$D$64,MATCH(B322,Customer_Master!$A$5:$A$64,0)),"UNMATCHED")</f>
        <v>Lagos</v>
      </c>
      <c r="Q322" s="4" t="str">
        <f aca="false">IF(N322="UNMATCHED","Unmatched","Matched")</f>
        <v>Matched</v>
      </c>
      <c r="R322" s="4" t="str">
        <f aca="false">IF(OR(E322="No",G322="No",I322="No",L322="YES",Q322="Unmatched"),"NEEDS REVIEW","OK")</f>
        <v>NEEDS REVIEW</v>
      </c>
    </row>
    <row r="323" customFormat="false" ht="15" hidden="false" customHeight="false" outlineLevel="0" collapsed="false">
      <c r="A323" s="4" t="str">
        <f aca="false">Orders_Raw!A323</f>
        <v>ORD00236</v>
      </c>
      <c r="B323" s="4" t="str">
        <f aca="false">TRIM(UPPER(Orders_Raw!B323))</f>
        <v>CUST0025</v>
      </c>
      <c r="C323" s="4" t="str">
        <f aca="false">PROPER(TRIM(Orders_Raw!C323))</f>
        <v>Fatima Okafor</v>
      </c>
      <c r="D323" s="6" t="n">
        <f aca="false">IFERROR(DATEVALUE(Orders_Raw!D323),"")</f>
        <v>46041</v>
      </c>
      <c r="E323" s="4" t="str">
        <f aca="false">IF(D323="","No","Yes")</f>
        <v>Yes</v>
      </c>
      <c r="F323" s="4" t="n">
        <f aca="false">IFERROR(VALUE(SUBSTITUTE(SUBSTITUTE(SUBSTITUTE(Orders_Raw!G323,"$",""),"NGN",""),",","")),"")</f>
        <v>2223.48</v>
      </c>
      <c r="G323" s="4" t="str">
        <f aca="false">IF(F323="","No","Yes")</f>
        <v>Yes</v>
      </c>
      <c r="H323" s="4" t="str">
        <f aca="false">Orders_Raw!F323</f>
        <v>2</v>
      </c>
      <c r="I323" s="4" t="str">
        <f aca="false">IF(H323="","No",IF(H323&lt;=0,"No","Yes"))</f>
        <v>Yes</v>
      </c>
      <c r="J323" s="4" t="str">
        <f aca="false">Orders_Raw!E323</f>
        <v>Speaker</v>
      </c>
      <c r="K323" s="4" t="str">
        <f aca="false">Orders_Raw!H323</f>
        <v>2026-01-19 14:23</v>
      </c>
      <c r="L323" s="4" t="str">
        <f aca="false">IF(COUNTIF(Orders_Raw!$A$5:$A$539,A323)&gt;1,"YES","No")</f>
        <v>No</v>
      </c>
      <c r="M323" s="4" t="str">
        <f aca="false">IF(COUNTIFS($B$5:$B$539,B323,$D$5:$D$539,D323,$F$5:$F$539,F323)&gt;1,"YES","No")</f>
        <v>No</v>
      </c>
      <c r="N323" s="4" t="str">
        <f aca="false">IFERROR(INDEX(Customer_Master!$B$5:$B$64,MATCH(B323,Customer_Master!$A$5:$A$64,0)),"UNMATCHED")</f>
        <v>Fatima Okafor</v>
      </c>
      <c r="O323" s="4" t="str">
        <f aca="false">IFERROR(INDEX(Customer_Master!$C$5:$C$64,MATCH(B323,Customer_Master!$A$5:$A$64,0)),"UNMATCHED")</f>
        <v>Loyal</v>
      </c>
      <c r="P323" s="4" t="str">
        <f aca="false">IFERROR(INDEX(Customer_Master!$D$5:$D$64,MATCH(B323,Customer_Master!$A$5:$A$64,0)),"UNMATCHED")</f>
        <v>Jos</v>
      </c>
      <c r="Q323" s="4" t="str">
        <f aca="false">IF(N323="UNMATCHED","Unmatched","Matched")</f>
        <v>Matched</v>
      </c>
      <c r="R323" s="4" t="str">
        <f aca="false">IF(OR(E323="No",G323="No",I323="No",L323="YES",Q323="Unmatched"),"NEEDS REVIEW","OK")</f>
        <v>OK</v>
      </c>
    </row>
    <row r="324" customFormat="false" ht="15" hidden="false" customHeight="false" outlineLevel="0" collapsed="false">
      <c r="A324" s="4" t="str">
        <f aca="false">Orders_Raw!A324</f>
        <v>ORD00065</v>
      </c>
      <c r="B324" s="4" t="str">
        <f aca="false">TRIM(UPPER(Orders_Raw!B324))</f>
        <v>CUST0026</v>
      </c>
      <c r="C324" s="4" t="str">
        <f aca="false">PROPER(TRIM(Orders_Raw!C324))</f>
        <v>Amaka Yakubu</v>
      </c>
      <c r="D324" s="6" t="n">
        <f aca="false">IFERROR(DATEVALUE(Orders_Raw!D324),"")</f>
        <v>46195</v>
      </c>
      <c r="E324" s="4" t="str">
        <f aca="false">IF(D324="","No","Yes")</f>
        <v>Yes</v>
      </c>
      <c r="F324" s="4" t="n">
        <f aca="false">IFERROR(VALUE(SUBSTITUTE(SUBSTITUTE(SUBSTITUTE(Orders_Raw!G324,"$",""),"NGN",""),",","")),"")</f>
        <v>959.32</v>
      </c>
      <c r="G324" s="4" t="str">
        <f aca="false">IF(F324="","No","Yes")</f>
        <v>Yes</v>
      </c>
      <c r="H324" s="4" t="str">
        <f aca="false">Orders_Raw!F324</f>
        <v>4</v>
      </c>
      <c r="I324" s="4" t="str">
        <f aca="false">IF(H324="","No",IF(H324&lt;=0,"No","Yes"))</f>
        <v>Yes</v>
      </c>
      <c r="J324" s="4" t="str">
        <f aca="false">Orders_Raw!E324</f>
        <v>Tablet</v>
      </c>
      <c r="K324" s="4" t="str">
        <f aca="false">Orders_Raw!H324</f>
        <v>2026-06-22 08:39</v>
      </c>
      <c r="L324" s="4" t="str">
        <f aca="false">IF(COUNTIF(Orders_Raw!$A$5:$A$539,A324)&gt;1,"YES","No")</f>
        <v>YES</v>
      </c>
      <c r="M324" s="4" t="str">
        <f aca="false">IF(COUNTIFS($B$5:$B$539,B324,$D$5:$D$539,D324,$F$5:$F$539,F324)&gt;1,"YES","No")</f>
        <v>YES</v>
      </c>
      <c r="N324" s="4" t="str">
        <f aca="false">IFERROR(INDEX(Customer_Master!$B$5:$B$64,MATCH(B324,Customer_Master!$A$5:$A$64,0)),"UNMATCHED")</f>
        <v>Amaka Yakubu</v>
      </c>
      <c r="O324" s="4" t="str">
        <f aca="false">IFERROR(INDEX(Customer_Master!$C$5:$C$64,MATCH(B324,Customer_Master!$A$5:$A$64,0)),"UNMATCHED")</f>
        <v>Lost / Low-Value</v>
      </c>
      <c r="P324" s="4" t="str">
        <f aca="false">IFERROR(INDEX(Customer_Master!$D$5:$D$64,MATCH(B324,Customer_Master!$A$5:$A$64,0)),"UNMATCHED")</f>
        <v>Kaduna</v>
      </c>
      <c r="Q324" s="4" t="str">
        <f aca="false">IF(N324="UNMATCHED","Unmatched","Matched")</f>
        <v>Matched</v>
      </c>
      <c r="R324" s="4" t="str">
        <f aca="false">IF(OR(E324="No",G324="No",I324="No",L324="YES",Q324="Unmatched"),"NEEDS REVIEW","OK")</f>
        <v>NEEDS REVIEW</v>
      </c>
    </row>
    <row r="325" customFormat="false" ht="15" hidden="false" customHeight="false" outlineLevel="0" collapsed="false">
      <c r="A325" s="4" t="str">
        <f aca="false">Orders_Raw!A325</f>
        <v>ORD00157</v>
      </c>
      <c r="B325" s="4" t="str">
        <f aca="false">TRIM(UPPER(Orders_Raw!B325))</f>
        <v>CUST0017</v>
      </c>
      <c r="C325" s="4" t="str">
        <f aca="false">PROPER(TRIM(Orders_Raw!C325))</f>
        <v>Chidi Ajayi</v>
      </c>
      <c r="D325" s="6" t="str">
        <f aca="false">IFERROR(DATEVALUE(Orders_Raw!D325),"")</f>
        <v/>
      </c>
      <c r="E325" s="4" t="str">
        <f aca="false">IF(D325="","No","Yes")</f>
        <v>No</v>
      </c>
      <c r="F325" s="4" t="n">
        <f aca="false">IFERROR(VALUE(SUBSTITUTE(SUBSTITUTE(SUBSTITUTE(Orders_Raw!G325,"$",""),"NGN",""),",","")),"")</f>
        <v>1042.05</v>
      </c>
      <c r="G325" s="4" t="str">
        <f aca="false">IF(F325="","No","Yes")</f>
        <v>Yes</v>
      </c>
      <c r="H325" s="4" t="str">
        <f aca="false">Orders_Raw!F325</f>
        <v>1</v>
      </c>
      <c r="I325" s="4" t="str">
        <f aca="false">IF(H325="","No",IF(H325&lt;=0,"No","Yes"))</f>
        <v>Yes</v>
      </c>
      <c r="J325" s="4" t="str">
        <f aca="false">Orders_Raw!E325</f>
        <v>Tablet</v>
      </c>
      <c r="K325" s="4" t="str">
        <f aca="false">Orders_Raw!H325</f>
        <v>2026-01-14 10:26</v>
      </c>
      <c r="L325" s="4" t="str">
        <f aca="false">IF(COUNTIF(Orders_Raw!$A$5:$A$539,A325)&gt;1,"YES","No")</f>
        <v>No</v>
      </c>
      <c r="M325" s="4" t="str">
        <f aca="false">IF(COUNTIFS($B$5:$B$539,B325,$D$5:$D$539,D325,$F$5:$F$539,F325)&gt;1,"YES","No")</f>
        <v>No</v>
      </c>
      <c r="N325" s="4" t="str">
        <f aca="false">IFERROR(INDEX(Customer_Master!$B$5:$B$64,MATCH(B325,Customer_Master!$A$5:$A$64,0)),"UNMATCHED")</f>
        <v>Ibrahim Ajayi</v>
      </c>
      <c r="O325" s="4" t="str">
        <f aca="false">IFERROR(INDEX(Customer_Master!$C$5:$C$64,MATCH(B325,Customer_Master!$A$5:$A$64,0)),"UNMATCHED")</f>
        <v>Champions</v>
      </c>
      <c r="P325" s="4" t="str">
        <f aca="false">IFERROR(INDEX(Customer_Master!$D$5:$D$64,MATCH(B325,Customer_Master!$A$5:$A$64,0)),"UNMATCHED")</f>
        <v>Enugu</v>
      </c>
      <c r="Q325" s="4" t="str">
        <f aca="false">IF(N325="UNMATCHED","Unmatched","Matched")</f>
        <v>Matched</v>
      </c>
      <c r="R325" s="4" t="str">
        <f aca="false">IF(OR(E325="No",G325="No",I325="No",L325="YES",Q325="Unmatched"),"NEEDS REVIEW","OK")</f>
        <v>NEEDS REVIEW</v>
      </c>
    </row>
    <row r="326" customFormat="false" ht="15" hidden="false" customHeight="false" outlineLevel="0" collapsed="false">
      <c r="A326" s="4" t="str">
        <f aca="false">Orders_Raw!A326</f>
        <v>ORD00478</v>
      </c>
      <c r="B326" s="4" t="str">
        <f aca="false">TRIM(UPPER(Orders_Raw!B326))</f>
        <v>CUSTO029</v>
      </c>
      <c r="C326" s="4" t="str">
        <f aca="false">PROPER(TRIM(Orders_Raw!C326))</f>
        <v>James Uche</v>
      </c>
      <c r="D326" s="6" t="str">
        <f aca="false">IFERROR(DATEVALUE(Orders_Raw!D326),"")</f>
        <v/>
      </c>
      <c r="E326" s="4" t="str">
        <f aca="false">IF(D326="","No","Yes")</f>
        <v>No</v>
      </c>
      <c r="F326" s="4" t="n">
        <f aca="false">IFERROR(VALUE(SUBSTITUTE(SUBSTITUTE(SUBSTITUTE(Orders_Raw!G326,"$",""),"NGN",""),",","")),"")</f>
        <v>278.23</v>
      </c>
      <c r="G326" s="4" t="str">
        <f aca="false">IF(F326="","No","Yes")</f>
        <v>Yes</v>
      </c>
      <c r="H326" s="4" t="str">
        <f aca="false">Orders_Raw!F326</f>
        <v>1</v>
      </c>
      <c r="I326" s="4" t="str">
        <f aca="false">IF(H326="","No",IF(H326&lt;=0,"No","Yes"))</f>
        <v>Yes</v>
      </c>
      <c r="J326" s="4" t="str">
        <f aca="false">Orders_Raw!E326</f>
        <v>Speaker</v>
      </c>
      <c r="K326" s="4" t="str">
        <f aca="false">Orders_Raw!H326</f>
        <v>2026-06-22 17:40</v>
      </c>
      <c r="L326" s="4" t="str">
        <f aca="false">IF(COUNTIF(Orders_Raw!$A$5:$A$539,A326)&gt;1,"YES","No")</f>
        <v>No</v>
      </c>
      <c r="M326" s="4" t="str">
        <f aca="false">IF(COUNTIFS($B$5:$B$539,B326,$D$5:$D$539,D326,$F$5:$F$539,F326)&gt;1,"YES","No")</f>
        <v>No</v>
      </c>
      <c r="N326" s="4" t="str">
        <f aca="false">IFERROR(INDEX(Customer_Master!$B$5:$B$64,MATCH(B326,Customer_Master!$A$5:$A$64,0)),"UNMATCHED")</f>
        <v>UNMATCHED</v>
      </c>
      <c r="O326" s="4" t="str">
        <f aca="false">IFERROR(INDEX(Customer_Master!$C$5:$C$64,MATCH(B326,Customer_Master!$A$5:$A$64,0)),"UNMATCHED")</f>
        <v>UNMATCHED</v>
      </c>
      <c r="P326" s="4" t="str">
        <f aca="false">IFERROR(INDEX(Customer_Master!$D$5:$D$64,MATCH(B326,Customer_Master!$A$5:$A$64,0)),"UNMATCHED")</f>
        <v>UNMATCHED</v>
      </c>
      <c r="Q326" s="4" t="str">
        <f aca="false">IF(N326="UNMATCHED","Unmatched","Matched")</f>
        <v>Unmatched</v>
      </c>
      <c r="R326" s="4" t="str">
        <f aca="false">IF(OR(E326="No",G326="No",I326="No",L326="YES",Q326="Unmatched"),"NEEDS REVIEW","OK")</f>
        <v>NEEDS REVIEW</v>
      </c>
    </row>
    <row r="327" customFormat="false" ht="15" hidden="false" customHeight="false" outlineLevel="0" collapsed="false">
      <c r="A327" s="4" t="str">
        <f aca="false">Orders_Raw!A327</f>
        <v>ORD00009</v>
      </c>
      <c r="B327" s="4" t="str">
        <f aca="false">TRIM(UPPER(Orders_Raw!B327))</f>
        <v>CUST0042</v>
      </c>
      <c r="C327" s="4" t="str">
        <f aca="false">PROPER(TRIM(Orders_Raw!C327))</f>
        <v>Bisi Chukwu</v>
      </c>
      <c r="D327" s="6" t="str">
        <f aca="false">IFERROR(DATEVALUE(Orders_Raw!D327),"")</f>
        <v/>
      </c>
      <c r="E327" s="4" t="str">
        <f aca="false">IF(D327="","No","Yes")</f>
        <v>No</v>
      </c>
      <c r="F327" s="4" t="n">
        <f aca="false">IFERROR(VALUE(SUBSTITUTE(SUBSTITUTE(SUBSTITUTE(Orders_Raw!G327,"$",""),"NGN",""),",","")),"")</f>
        <v>2348.24</v>
      </c>
      <c r="G327" s="4" t="str">
        <f aca="false">IF(F327="","No","Yes")</f>
        <v>Yes</v>
      </c>
      <c r="H327" s="4" t="str">
        <f aca="false">Orders_Raw!F327</f>
        <v>2</v>
      </c>
      <c r="I327" s="4" t="str">
        <f aca="false">IF(H327="","No",IF(H327&lt;=0,"No","Yes"))</f>
        <v>Yes</v>
      </c>
      <c r="J327" s="4" t="str">
        <f aca="false">Orders_Raw!E327</f>
        <v>Tablet</v>
      </c>
      <c r="K327" s="4" t="str">
        <f aca="false">Orders_Raw!H327</f>
        <v>2026-03-18 10:17</v>
      </c>
      <c r="L327" s="4" t="str">
        <f aca="false">IF(COUNTIF(Orders_Raw!$A$5:$A$539,A327)&gt;1,"YES","No")</f>
        <v>No</v>
      </c>
      <c r="M327" s="4" t="str">
        <f aca="false">IF(COUNTIFS($B$5:$B$539,B327,$D$5:$D$539,D327,$F$5:$F$539,F327)&gt;1,"YES","No")</f>
        <v>No</v>
      </c>
      <c r="N327" s="4" t="str">
        <f aca="false">IFERROR(INDEX(Customer_Master!$B$5:$B$64,MATCH(B327,Customer_Master!$A$5:$A$64,0)),"UNMATCHED")</f>
        <v>Bisi Chukwu</v>
      </c>
      <c r="O327" s="4" t="str">
        <f aca="false">IFERROR(INDEX(Customer_Master!$C$5:$C$64,MATCH(B327,Customer_Master!$A$5:$A$64,0)),"UNMATCHED")</f>
        <v>At Risk</v>
      </c>
      <c r="P327" s="4" t="str">
        <f aca="false">IFERROR(INDEX(Customer_Master!$D$5:$D$64,MATCH(B327,Customer_Master!$A$5:$A$64,0)),"UNMATCHED")</f>
        <v>Kano</v>
      </c>
      <c r="Q327" s="4" t="str">
        <f aca="false">IF(N327="UNMATCHED","Unmatched","Matched")</f>
        <v>Matched</v>
      </c>
      <c r="R327" s="4" t="str">
        <f aca="false">IF(OR(E327="No",G327="No",I327="No",L327="YES",Q327="Unmatched"),"NEEDS REVIEW","OK")</f>
        <v>NEEDS REVIEW</v>
      </c>
    </row>
    <row r="328" customFormat="false" ht="15" hidden="false" customHeight="false" outlineLevel="0" collapsed="false">
      <c r="A328" s="4" t="str">
        <f aca="false">Orders_Raw!A328</f>
        <v>ORD00047</v>
      </c>
      <c r="B328" s="4" t="str">
        <f aca="false">TRIM(UPPER(Orders_Raw!B328))</f>
        <v>CUST0045</v>
      </c>
      <c r="C328" s="4" t="str">
        <f aca="false">PROPER(TRIM(Orders_Raw!C328))</f>
        <v>Emeka Yakubu</v>
      </c>
      <c r="D328" s="6" t="str">
        <f aca="false">IFERROR(DATEVALUE(Orders_Raw!D328),"")</f>
        <v/>
      </c>
      <c r="E328" s="4" t="str">
        <f aca="false">IF(D328="","No","Yes")</f>
        <v>No</v>
      </c>
      <c r="F328" s="4" t="n">
        <f aca="false">IFERROR(VALUE(SUBSTITUTE(SUBSTITUTE(SUBSTITUTE(Orders_Raw!G328,"$",""),"NGN",""),",","")),"")</f>
        <v>2484.89</v>
      </c>
      <c r="G328" s="4" t="str">
        <f aca="false">IF(F328="","No","Yes")</f>
        <v>Yes</v>
      </c>
      <c r="H328" s="4" t="str">
        <f aca="false">Orders_Raw!F328</f>
        <v>3</v>
      </c>
      <c r="I328" s="4" t="str">
        <f aca="false">IF(H328="","No",IF(H328&lt;=0,"No","Yes"))</f>
        <v>Yes</v>
      </c>
      <c r="J328" s="4" t="str">
        <f aca="false">Orders_Raw!E328</f>
        <v>Speaker</v>
      </c>
      <c r="K328" s="4" t="str">
        <f aca="false">Orders_Raw!H328</f>
        <v>2026-03-19 11:49</v>
      </c>
      <c r="L328" s="4" t="str">
        <f aca="false">IF(COUNTIF(Orders_Raw!$A$5:$A$539,A328)&gt;1,"YES","No")</f>
        <v>YES</v>
      </c>
      <c r="M328" s="4" t="str">
        <f aca="false">IF(COUNTIFS($B$5:$B$539,B328,$D$5:$D$539,D328,$F$5:$F$539,F328)&gt;1,"YES","No")</f>
        <v>YES</v>
      </c>
      <c r="N328" s="4" t="str">
        <f aca="false">IFERROR(INDEX(Customer_Master!$B$5:$B$64,MATCH(B328,Customer_Master!$A$5:$A$64,0)),"UNMATCHED")</f>
        <v>Yusuf Yakubu</v>
      </c>
      <c r="O328" s="4" t="str">
        <f aca="false">IFERROR(INDEX(Customer_Master!$C$5:$C$64,MATCH(B328,Customer_Master!$A$5:$A$64,0)),"UNMATCHED")</f>
        <v>New</v>
      </c>
      <c r="P328" s="4" t="str">
        <f aca="false">IFERROR(INDEX(Customer_Master!$D$5:$D$64,MATCH(B328,Customer_Master!$A$5:$A$64,0)),"UNMATCHED")</f>
        <v>Port Harcourt</v>
      </c>
      <c r="Q328" s="4" t="str">
        <f aca="false">IF(N328="UNMATCHED","Unmatched","Matched")</f>
        <v>Matched</v>
      </c>
      <c r="R328" s="4" t="str">
        <f aca="false">IF(OR(E328="No",G328="No",I328="No",L328="YES",Q328="Unmatched"),"NEEDS REVIEW","OK")</f>
        <v>NEEDS REVIEW</v>
      </c>
    </row>
    <row r="329" customFormat="false" ht="15" hidden="false" customHeight="false" outlineLevel="0" collapsed="false">
      <c r="A329" s="4" t="str">
        <f aca="false">Orders_Raw!A329</f>
        <v>ORD00123</v>
      </c>
      <c r="B329" s="4" t="str">
        <f aca="false">TRIM(UPPER(Orders_Raw!B329))</f>
        <v>CUST0014</v>
      </c>
      <c r="C329" s="4" t="str">
        <f aca="false">PROPER(TRIM(Orders_Raw!C329))</f>
        <v>Joy Lawal</v>
      </c>
      <c r="D329" s="6" t="n">
        <f aca="false">IFERROR(DATEVALUE(Orders_Raw!D329),"")</f>
        <v>46103</v>
      </c>
      <c r="E329" s="4" t="str">
        <f aca="false">IF(D329="","No","Yes")</f>
        <v>Yes</v>
      </c>
      <c r="F329" s="4" t="n">
        <f aca="false">IFERROR(VALUE(SUBSTITUTE(SUBSTITUTE(SUBSTITUTE(Orders_Raw!G329,"$",""),"NGN",""),",","")),"")</f>
        <v>1295.73</v>
      </c>
      <c r="G329" s="4" t="str">
        <f aca="false">IF(F329="","No","Yes")</f>
        <v>Yes</v>
      </c>
      <c r="H329" s="4" t="str">
        <f aca="false">Orders_Raw!F329</f>
        <v>2</v>
      </c>
      <c r="I329" s="4" t="str">
        <f aca="false">IF(H329="","No",IF(H329&lt;=0,"No","Yes"))</f>
        <v>Yes</v>
      </c>
      <c r="J329" s="4" t="str">
        <f aca="false">Orders_Raw!E329</f>
        <v>Charger</v>
      </c>
      <c r="K329" s="4" t="str">
        <f aca="false">Orders_Raw!H329</f>
        <v>2026-03-22 12:22</v>
      </c>
      <c r="L329" s="4" t="str">
        <f aca="false">IF(COUNTIF(Orders_Raw!$A$5:$A$539,A329)&gt;1,"YES","No")</f>
        <v>No</v>
      </c>
      <c r="M329" s="4" t="str">
        <f aca="false">IF(COUNTIFS($B$5:$B$539,B329,$D$5:$D$539,D329,$F$5:$F$539,F329)&gt;1,"YES","No")</f>
        <v>No</v>
      </c>
      <c r="N329" s="4" t="str">
        <f aca="false">IFERROR(INDEX(Customer_Master!$B$5:$B$64,MATCH(B329,Customer_Master!$A$5:$A$64,0)),"UNMATCHED")</f>
        <v>Joy Eze</v>
      </c>
      <c r="O329" s="4" t="str">
        <f aca="false">IFERROR(INDEX(Customer_Master!$C$5:$C$64,MATCH(B329,Customer_Master!$A$5:$A$64,0)),"UNMATCHED")</f>
        <v>New</v>
      </c>
      <c r="P329" s="4" t="str">
        <f aca="false">IFERROR(INDEX(Customer_Master!$D$5:$D$64,MATCH(B329,Customer_Master!$A$5:$A$64,0)),"UNMATCHED")</f>
        <v>Jos</v>
      </c>
      <c r="Q329" s="4" t="str">
        <f aca="false">IF(N329="UNMATCHED","Unmatched","Matched")</f>
        <v>Matched</v>
      </c>
      <c r="R329" s="4" t="str">
        <f aca="false">IF(OR(E329="No",G329="No",I329="No",L329="YES",Q329="Unmatched"),"NEEDS REVIEW","OK")</f>
        <v>OK</v>
      </c>
    </row>
    <row r="330" customFormat="false" ht="15" hidden="false" customHeight="false" outlineLevel="0" collapsed="false">
      <c r="A330" s="4" t="str">
        <f aca="false">Orders_Raw!A330</f>
        <v>ORD00377</v>
      </c>
      <c r="B330" s="4" t="str">
        <f aca="false">TRIM(UPPER(Orders_Raw!B330))</f>
        <v>CUST0024</v>
      </c>
      <c r="C330" s="4" t="str">
        <f aca="false">PROPER(TRIM(Orders_Raw!C330))</f>
        <v>Aisha Adeyemi</v>
      </c>
      <c r="D330" s="6" t="n">
        <f aca="false">IFERROR(DATEVALUE(Orders_Raw!D330),"")</f>
        <v>46297</v>
      </c>
      <c r="E330" s="4" t="str">
        <f aca="false">IF(D330="","No","Yes")</f>
        <v>Yes</v>
      </c>
      <c r="F330" s="4" t="n">
        <f aca="false">IFERROR(VALUE(SUBSTITUTE(SUBSTITUTE(SUBSTITUTE(Orders_Raw!G330,"$",""),"NGN",""),",","")),"")</f>
        <v>2492.09</v>
      </c>
      <c r="G330" s="4" t="str">
        <f aca="false">IF(F330="","No","Yes")</f>
        <v>Yes</v>
      </c>
      <c r="H330" s="4" t="str">
        <f aca="false">Orders_Raw!F330</f>
        <v>2</v>
      </c>
      <c r="I330" s="4" t="str">
        <f aca="false">IF(H330="","No",IF(H330&lt;=0,"No","Yes"))</f>
        <v>Yes</v>
      </c>
      <c r="J330" s="4" t="str">
        <f aca="false">Orders_Raw!E330</f>
        <v>Charger</v>
      </c>
      <c r="K330" s="4" t="str">
        <f aca="false">Orders_Raw!H330</f>
        <v>2026-02-10 16:00</v>
      </c>
      <c r="L330" s="4" t="str">
        <f aca="false">IF(COUNTIF(Orders_Raw!$A$5:$A$539,A330)&gt;1,"YES","No")</f>
        <v>No</v>
      </c>
      <c r="M330" s="4" t="str">
        <f aca="false">IF(COUNTIFS($B$5:$B$539,B330,$D$5:$D$539,D330,$F$5:$F$539,F330)&gt;1,"YES","No")</f>
        <v>No</v>
      </c>
      <c r="N330" s="4" t="str">
        <f aca="false">IFERROR(INDEX(Customer_Master!$B$5:$B$64,MATCH(B330,Customer_Master!$A$5:$A$64,0)),"UNMATCHED")</f>
        <v>Aisha Adeyemi</v>
      </c>
      <c r="O330" s="4" t="str">
        <f aca="false">IFERROR(INDEX(Customer_Master!$C$5:$C$64,MATCH(B330,Customer_Master!$A$5:$A$64,0)),"UNMATCHED")</f>
        <v>At Risk</v>
      </c>
      <c r="P330" s="4" t="str">
        <f aca="false">IFERROR(INDEX(Customer_Master!$D$5:$D$64,MATCH(B330,Customer_Master!$A$5:$A$64,0)),"UNMATCHED")</f>
        <v>Enugu</v>
      </c>
      <c r="Q330" s="4" t="str">
        <f aca="false">IF(N330="UNMATCHED","Unmatched","Matched")</f>
        <v>Matched</v>
      </c>
      <c r="R330" s="4" t="str">
        <f aca="false">IF(OR(E330="No",G330="No",I330="No",L330="YES",Q330="Unmatched"),"NEEDS REVIEW","OK")</f>
        <v>OK</v>
      </c>
    </row>
    <row r="331" customFormat="false" ht="15" hidden="false" customHeight="false" outlineLevel="0" collapsed="false">
      <c r="A331" s="4" t="str">
        <f aca="false">Orders_Raw!A331</f>
        <v>ORD00480</v>
      </c>
      <c r="B331" s="4" t="str">
        <f aca="false">TRIM(UPPER(Orders_Raw!B331))</f>
        <v>CUST0009</v>
      </c>
      <c r="C331" s="4" t="str">
        <f aca="false">PROPER(TRIM(Orders_Raw!C331))</f>
        <v>Ngozi Sani</v>
      </c>
      <c r="D331" s="6" t="n">
        <f aca="false">IFERROR(DATEVALUE(Orders_Raw!D331),"")</f>
        <v>46139</v>
      </c>
      <c r="E331" s="4" t="str">
        <f aca="false">IF(D331="","No","Yes")</f>
        <v>Yes</v>
      </c>
      <c r="F331" s="4" t="n">
        <f aca="false">IFERROR(VALUE(SUBSTITUTE(SUBSTITUTE(SUBSTITUTE(Orders_Raw!G331,"$",""),"NGN",""),",","")),"")</f>
        <v>1715.93</v>
      </c>
      <c r="G331" s="4" t="str">
        <f aca="false">IF(F331="","No","Yes")</f>
        <v>Yes</v>
      </c>
      <c r="H331" s="4" t="str">
        <f aca="false">Orders_Raw!F331</f>
        <v>2</v>
      </c>
      <c r="I331" s="4" t="str">
        <f aca="false">IF(H331="","No",IF(H331&lt;=0,"No","Yes"))</f>
        <v>Yes</v>
      </c>
      <c r="J331" s="4" t="str">
        <f aca="false">Orders_Raw!E331</f>
        <v>Speaker</v>
      </c>
      <c r="K331" s="4" t="str">
        <f aca="false">Orders_Raw!H331</f>
        <v>2026-04-27 12:58</v>
      </c>
      <c r="L331" s="4" t="str">
        <f aca="false">IF(COUNTIF(Orders_Raw!$A$5:$A$539,A331)&gt;1,"YES","No")</f>
        <v>No</v>
      </c>
      <c r="M331" s="4" t="str">
        <f aca="false">IF(COUNTIFS($B$5:$B$539,B331,$D$5:$D$539,D331,$F$5:$F$539,F331)&gt;1,"YES","No")</f>
        <v>No</v>
      </c>
      <c r="N331" s="4" t="str">
        <f aca="false">IFERROR(INDEX(Customer_Master!$B$5:$B$64,MATCH(B331,Customer_Master!$A$5:$A$64,0)),"UNMATCHED")</f>
        <v>Ngozi Sani</v>
      </c>
      <c r="O331" s="4" t="str">
        <f aca="false">IFERROR(INDEX(Customer_Master!$C$5:$C$64,MATCH(B331,Customer_Master!$A$5:$A$64,0)),"UNMATCHED")</f>
        <v>Loyal</v>
      </c>
      <c r="P331" s="4" t="str">
        <f aca="false">IFERROR(INDEX(Customer_Master!$D$5:$D$64,MATCH(B331,Customer_Master!$A$5:$A$64,0)),"UNMATCHED")</f>
        <v>Kano</v>
      </c>
      <c r="Q331" s="4" t="str">
        <f aca="false">IF(N331="UNMATCHED","Unmatched","Matched")</f>
        <v>Matched</v>
      </c>
      <c r="R331" s="4" t="str">
        <f aca="false">IF(OR(E331="No",G331="No",I331="No",L331="YES",Q331="Unmatched"),"NEEDS REVIEW","OK")</f>
        <v>OK</v>
      </c>
    </row>
    <row r="332" customFormat="false" ht="15" hidden="false" customHeight="false" outlineLevel="0" collapsed="false">
      <c r="A332" s="4" t="str">
        <f aca="false">Orders_Raw!A332</f>
        <v>ORD00068</v>
      </c>
      <c r="B332" s="4" t="str">
        <f aca="false">TRIM(UPPER(Orders_Raw!B332))</f>
        <v>CUST0012</v>
      </c>
      <c r="C332" s="4" t="str">
        <f aca="false">PROPER(TRIM(Orders_Raw!C332))</f>
        <v>Kemi Sani</v>
      </c>
      <c r="D332" s="6" t="n">
        <f aca="false">IFERROR(DATEVALUE(Orders_Raw!D332),"")</f>
        <v>46179</v>
      </c>
      <c r="E332" s="4" t="str">
        <f aca="false">IF(D332="","No","Yes")</f>
        <v>Yes</v>
      </c>
      <c r="F332" s="4" t="n">
        <f aca="false">IFERROR(VALUE(SUBSTITUTE(SUBSTITUTE(SUBSTITUTE(Orders_Raw!G332,"$",""),"NGN",""),",","")),"")</f>
        <v>1554.98</v>
      </c>
      <c r="G332" s="4" t="str">
        <f aca="false">IF(F332="","No","Yes")</f>
        <v>Yes</v>
      </c>
      <c r="H332" s="4" t="str">
        <f aca="false">Orders_Raw!F332</f>
        <v>2</v>
      </c>
      <c r="I332" s="4" t="str">
        <f aca="false">IF(H332="","No",IF(H332&lt;=0,"No","Yes"))</f>
        <v>Yes</v>
      </c>
      <c r="J332" s="4" t="str">
        <f aca="false">Orders_Raw!E332</f>
        <v>Printer</v>
      </c>
      <c r="K332" s="4" t="str">
        <f aca="false">Orders_Raw!H332</f>
        <v>2026-06-06 18:16</v>
      </c>
      <c r="L332" s="4" t="str">
        <f aca="false">IF(COUNTIF(Orders_Raw!$A$5:$A$539,A332)&gt;1,"YES","No")</f>
        <v>No</v>
      </c>
      <c r="M332" s="4" t="str">
        <f aca="false">IF(COUNTIFS($B$5:$B$539,B332,$D$5:$D$539,D332,$F$5:$F$539,F332)&gt;1,"YES","No")</f>
        <v>No</v>
      </c>
      <c r="N332" s="4" t="str">
        <f aca="false">IFERROR(INDEX(Customer_Master!$B$5:$B$64,MATCH(B332,Customer_Master!$A$5:$A$64,0)),"UNMATCHED")</f>
        <v>Kemi Sani</v>
      </c>
      <c r="O332" s="4" t="str">
        <f aca="false">IFERROR(INDEX(Customer_Master!$C$5:$C$64,MATCH(B332,Customer_Master!$A$5:$A$64,0)),"UNMATCHED")</f>
        <v>Champions</v>
      </c>
      <c r="P332" s="4" t="str">
        <f aca="false">IFERROR(INDEX(Customer_Master!$D$5:$D$64,MATCH(B332,Customer_Master!$A$5:$A$64,0)),"UNMATCHED")</f>
        <v>Kaduna</v>
      </c>
      <c r="Q332" s="4" t="str">
        <f aca="false">IF(N332="UNMATCHED","Unmatched","Matched")</f>
        <v>Matched</v>
      </c>
      <c r="R332" s="4" t="str">
        <f aca="false">IF(OR(E332="No",G332="No",I332="No",L332="YES",Q332="Unmatched"),"NEEDS REVIEW","OK")</f>
        <v>OK</v>
      </c>
    </row>
    <row r="333" customFormat="false" ht="15" hidden="false" customHeight="false" outlineLevel="0" collapsed="false">
      <c r="A333" s="4" t="str">
        <f aca="false">Orders_Raw!A333</f>
        <v>ORD00112</v>
      </c>
      <c r="B333" s="4" t="str">
        <f aca="false">TRIM(UPPER(Orders_Raw!B333))</f>
        <v>CUST0027</v>
      </c>
      <c r="C333" s="4" t="str">
        <f aca="false">PROPER(TRIM(Orders_Raw!C333))</f>
        <v>Yusuf Sani</v>
      </c>
      <c r="D333" s="6" t="n">
        <f aca="false">IFERROR(DATEVALUE(Orders_Raw!D333),"")</f>
        <v>46136</v>
      </c>
      <c r="E333" s="4" t="str">
        <f aca="false">IF(D333="","No","Yes")</f>
        <v>Yes</v>
      </c>
      <c r="F333" s="4" t="n">
        <f aca="false">IFERROR(VALUE(SUBSTITUTE(SUBSTITUTE(SUBSTITUTE(Orders_Raw!G333,"$",""),"NGN",""),",","")),"")</f>
        <v>723.05</v>
      </c>
      <c r="G333" s="4" t="str">
        <f aca="false">IF(F333="","No","Yes")</f>
        <v>Yes</v>
      </c>
      <c r="H333" s="4" t="str">
        <f aca="false">Orders_Raw!F333</f>
        <v>1</v>
      </c>
      <c r="I333" s="4" t="str">
        <f aca="false">IF(H333="","No",IF(H333&lt;=0,"No","Yes"))</f>
        <v>Yes</v>
      </c>
      <c r="J333" s="4" t="str">
        <f aca="false">Orders_Raw!E333</f>
        <v>Printer</v>
      </c>
      <c r="K333" s="4" t="str">
        <f aca="false">Orders_Raw!H333</f>
        <v>2026-04-24 11:23</v>
      </c>
      <c r="L333" s="4" t="str">
        <f aca="false">IF(COUNTIF(Orders_Raw!$A$5:$A$539,A333)&gt;1,"YES","No")</f>
        <v>No</v>
      </c>
      <c r="M333" s="4" t="str">
        <f aca="false">IF(COUNTIFS($B$5:$B$539,B333,$D$5:$D$539,D333,$F$5:$F$539,F333)&gt;1,"YES","No")</f>
        <v>No</v>
      </c>
      <c r="N333" s="4" t="str">
        <f aca="false">IFERROR(INDEX(Customer_Master!$B$5:$B$64,MATCH(B333,Customer_Master!$A$5:$A$64,0)),"UNMATCHED")</f>
        <v>Yusuf Sani</v>
      </c>
      <c r="O333" s="4" t="str">
        <f aca="false">IFERROR(INDEX(Customer_Master!$C$5:$C$64,MATCH(B333,Customer_Master!$A$5:$A$64,0)),"UNMATCHED")</f>
        <v>Loyal</v>
      </c>
      <c r="P333" s="4" t="str">
        <f aca="false">IFERROR(INDEX(Customer_Master!$D$5:$D$64,MATCH(B333,Customer_Master!$A$5:$A$64,0)),"UNMATCHED")</f>
        <v>Kano</v>
      </c>
      <c r="Q333" s="4" t="str">
        <f aca="false">IF(N333="UNMATCHED","Unmatched","Matched")</f>
        <v>Matched</v>
      </c>
      <c r="R333" s="4" t="str">
        <f aca="false">IF(OR(E333="No",G333="No",I333="No",L333="YES",Q333="Unmatched"),"NEEDS REVIEW","OK")</f>
        <v>OK</v>
      </c>
    </row>
    <row r="334" customFormat="false" ht="15" hidden="false" customHeight="false" outlineLevel="0" collapsed="false">
      <c r="A334" s="4" t="str">
        <f aca="false">Orders_Raw!A334</f>
        <v>ORD00209</v>
      </c>
      <c r="B334" s="4" t="str">
        <f aca="false">TRIM(UPPER(Orders_Raw!B334))</f>
        <v>CUST0023</v>
      </c>
      <c r="C334" s="4" t="str">
        <f aca="false">PROPER(TRIM(Orders_Raw!C334))</f>
        <v>Chidi Umeh</v>
      </c>
      <c r="D334" s="6" t="n">
        <f aca="false">IFERROR(DATEVALUE(Orders_Raw!D334),"")</f>
        <v>46049</v>
      </c>
      <c r="E334" s="4" t="str">
        <f aca="false">IF(D334="","No","Yes")</f>
        <v>Yes</v>
      </c>
      <c r="F334" s="4" t="n">
        <f aca="false">IFERROR(VALUE(SUBSTITUTE(SUBSTITUTE(SUBSTITUTE(Orders_Raw!G334,"$",""),"NGN",""),",","")),"")</f>
        <v>1048.7</v>
      </c>
      <c r="G334" s="4" t="str">
        <f aca="false">IF(F334="","No","Yes")</f>
        <v>Yes</v>
      </c>
      <c r="H334" s="4" t="str">
        <f aca="false">Orders_Raw!F334</f>
        <v>1</v>
      </c>
      <c r="I334" s="4" t="str">
        <f aca="false">IF(H334="","No",IF(H334&lt;=0,"No","Yes"))</f>
        <v>Yes</v>
      </c>
      <c r="J334" s="4" t="str">
        <f aca="false">Orders_Raw!E334</f>
        <v>Keyboard</v>
      </c>
      <c r="K334" s="4" t="str">
        <f aca="false">Orders_Raw!H334</f>
        <v>2026-01-27 12:21</v>
      </c>
      <c r="L334" s="4" t="str">
        <f aca="false">IF(COUNTIF(Orders_Raw!$A$5:$A$539,A334)&gt;1,"YES","No")</f>
        <v>No</v>
      </c>
      <c r="M334" s="4" t="str">
        <f aca="false">IF(COUNTIFS($B$5:$B$539,B334,$D$5:$D$539,D334,$F$5:$F$539,F334)&gt;1,"YES","No")</f>
        <v>No</v>
      </c>
      <c r="N334" s="4" t="str">
        <f aca="false">IFERROR(INDEX(Customer_Master!$B$5:$B$64,MATCH(B334,Customer_Master!$A$5:$A$64,0)),"UNMATCHED")</f>
        <v>Chidi Umeh</v>
      </c>
      <c r="O334" s="4" t="str">
        <f aca="false">IFERROR(INDEX(Customer_Master!$C$5:$C$64,MATCH(B334,Customer_Master!$A$5:$A$64,0)),"UNMATCHED")</f>
        <v>Champions</v>
      </c>
      <c r="P334" s="4" t="str">
        <f aca="false">IFERROR(INDEX(Customer_Master!$D$5:$D$64,MATCH(B334,Customer_Master!$A$5:$A$64,0)),"UNMATCHED")</f>
        <v>Kano</v>
      </c>
      <c r="Q334" s="4" t="str">
        <f aca="false">IF(N334="UNMATCHED","Unmatched","Matched")</f>
        <v>Matched</v>
      </c>
      <c r="R334" s="4" t="str">
        <f aca="false">IF(OR(E334="No",G334="No",I334="No",L334="YES",Q334="Unmatched"),"NEEDS REVIEW","OK")</f>
        <v>OK</v>
      </c>
    </row>
    <row r="335" customFormat="false" ht="15" hidden="false" customHeight="false" outlineLevel="0" collapsed="false">
      <c r="A335" s="4" t="str">
        <f aca="false">Orders_Raw!A335</f>
        <v>ORD00344</v>
      </c>
      <c r="B335" s="4" t="str">
        <f aca="false">TRIM(UPPER(Orders_Raw!B335))</f>
        <v>CUST0037</v>
      </c>
      <c r="C335" s="4" t="str">
        <f aca="false">PROPER(TRIM(Orders_Raw!C335))</f>
        <v>Blessing Obi</v>
      </c>
      <c r="D335" s="6" t="str">
        <f aca="false">IFERROR(DATEVALUE(Orders_Raw!D335),"")</f>
        <v/>
      </c>
      <c r="E335" s="4" t="str">
        <f aca="false">IF(D335="","No","Yes")</f>
        <v>No</v>
      </c>
      <c r="F335" s="4" t="n">
        <f aca="false">IFERROR(VALUE(SUBSTITUTE(SUBSTITUTE(SUBSTITUTE(Orders_Raw!G335,"$",""),"NGN",""),",","")),"")</f>
        <v>1136.05</v>
      </c>
      <c r="G335" s="4" t="str">
        <f aca="false">IF(F335="","No","Yes")</f>
        <v>Yes</v>
      </c>
      <c r="H335" s="4" t="str">
        <f aca="false">Orders_Raw!F335</f>
        <v>2</v>
      </c>
      <c r="I335" s="4" t="str">
        <f aca="false">IF(H335="","No",IF(H335&lt;=0,"No","Yes"))</f>
        <v>Yes</v>
      </c>
      <c r="J335" s="4" t="str">
        <f aca="false">Orders_Raw!E335</f>
        <v>Phone</v>
      </c>
      <c r="K335" s="4" t="str">
        <f aca="false">Orders_Raw!H335</f>
        <v>2026-04-15 16:00</v>
      </c>
      <c r="L335" s="4" t="str">
        <f aca="false">IF(COUNTIF(Orders_Raw!$A$5:$A$539,A335)&gt;1,"YES","No")</f>
        <v>YES</v>
      </c>
      <c r="M335" s="4" t="str">
        <f aca="false">IF(COUNTIFS($B$5:$B$539,B335,$D$5:$D$539,D335,$F$5:$F$539,F335)&gt;1,"YES","No")</f>
        <v>YES</v>
      </c>
      <c r="N335" s="4" t="str">
        <f aca="false">IFERROR(INDEX(Customer_Master!$B$5:$B$64,MATCH(B335,Customer_Master!$A$5:$A$64,0)),"UNMATCHED")</f>
        <v>Blessing Obi</v>
      </c>
      <c r="O335" s="4" t="str">
        <f aca="false">IFERROR(INDEX(Customer_Master!$C$5:$C$64,MATCH(B335,Customer_Master!$A$5:$A$64,0)),"UNMATCHED")</f>
        <v>Lost / Low-Value</v>
      </c>
      <c r="P335" s="4" t="str">
        <f aca="false">IFERROR(INDEX(Customer_Master!$D$5:$D$64,MATCH(B335,Customer_Master!$A$5:$A$64,0)),"UNMATCHED")</f>
        <v>Lagos</v>
      </c>
      <c r="Q335" s="4" t="str">
        <f aca="false">IF(N335="UNMATCHED","Unmatched","Matched")</f>
        <v>Matched</v>
      </c>
      <c r="R335" s="4" t="str">
        <f aca="false">IF(OR(E335="No",G335="No",I335="No",L335="YES",Q335="Unmatched"),"NEEDS REVIEW","OK")</f>
        <v>NEEDS REVIEW</v>
      </c>
    </row>
    <row r="336" customFormat="false" ht="15" hidden="false" customHeight="false" outlineLevel="0" collapsed="false">
      <c r="A336" s="4" t="str">
        <f aca="false">Orders_Raw!A336</f>
        <v>ORD00494</v>
      </c>
      <c r="B336" s="4" t="str">
        <f aca="false">TRIM(UPPER(Orders_Raw!B336))</f>
        <v>CUST0033</v>
      </c>
      <c r="C336" s="4" t="str">
        <f aca="false">PROPER(TRIM(Orders_Raw!C336))</f>
        <v>Musa Abubakar</v>
      </c>
      <c r="D336" s="6" t="n">
        <f aca="false">IFERROR(DATEVALUE(Orders_Raw!D336),"")</f>
        <v>46170</v>
      </c>
      <c r="E336" s="4" t="str">
        <f aca="false">IF(D336="","No","Yes")</f>
        <v>Yes</v>
      </c>
      <c r="F336" s="4" t="n">
        <f aca="false">IFERROR(VALUE(SUBSTITUTE(SUBSTITUTE(SUBSTITUTE(Orders_Raw!G336,"$",""),"NGN",""),",","")),"")</f>
        <v>98.15</v>
      </c>
      <c r="G336" s="4" t="str">
        <f aca="false">IF(F336="","No","Yes")</f>
        <v>Yes</v>
      </c>
      <c r="H336" s="4" t="str">
        <f aca="false">Orders_Raw!F336</f>
        <v>3</v>
      </c>
      <c r="I336" s="4" t="str">
        <f aca="false">IF(H336="","No",IF(H336&lt;=0,"No","Yes"))</f>
        <v>Yes</v>
      </c>
      <c r="J336" s="4" t="str">
        <f aca="false">Orders_Raw!E336</f>
        <v>Speaker</v>
      </c>
      <c r="K336" s="4" t="str">
        <f aca="false">Orders_Raw!H336</f>
        <v>2026-05-28 15:44</v>
      </c>
      <c r="L336" s="4" t="str">
        <f aca="false">IF(COUNTIF(Orders_Raw!$A$5:$A$539,A336)&gt;1,"YES","No")</f>
        <v>No</v>
      </c>
      <c r="M336" s="4" t="str">
        <f aca="false">IF(COUNTIFS($B$5:$B$539,B336,$D$5:$D$539,D336,$F$5:$F$539,F336)&gt;1,"YES","No")</f>
        <v>No</v>
      </c>
      <c r="N336" s="4" t="str">
        <f aca="false">IFERROR(INDEX(Customer_Master!$B$5:$B$64,MATCH(B336,Customer_Master!$A$5:$A$64,0)),"UNMATCHED")</f>
        <v>Musa Abubakar</v>
      </c>
      <c r="O336" s="4" t="str">
        <f aca="false">IFERROR(INDEX(Customer_Master!$C$5:$C$64,MATCH(B336,Customer_Master!$A$5:$A$64,0)),"UNMATCHED")</f>
        <v>New</v>
      </c>
      <c r="P336" s="4" t="str">
        <f aca="false">IFERROR(INDEX(Customer_Master!$D$5:$D$64,MATCH(B336,Customer_Master!$A$5:$A$64,0)),"UNMATCHED")</f>
        <v>Kaduna</v>
      </c>
      <c r="Q336" s="4" t="str">
        <f aca="false">IF(N336="UNMATCHED","Unmatched","Matched")</f>
        <v>Matched</v>
      </c>
      <c r="R336" s="4" t="str">
        <f aca="false">IF(OR(E336="No",G336="No",I336="No",L336="YES",Q336="Unmatched"),"NEEDS REVIEW","OK")</f>
        <v>OK</v>
      </c>
    </row>
    <row r="337" customFormat="false" ht="15" hidden="false" customHeight="false" outlineLevel="0" collapsed="false">
      <c r="A337" s="4" t="str">
        <f aca="false">Orders_Raw!A337</f>
        <v>ORD00043</v>
      </c>
      <c r="B337" s="4" t="str">
        <f aca="false">TRIM(UPPER(Orders_Raw!B337))</f>
        <v>CUST0023</v>
      </c>
      <c r="C337" s="4" t="str">
        <f aca="false">PROPER(TRIM(Orders_Raw!C337))</f>
        <v>Chidi Umeh</v>
      </c>
      <c r="D337" s="6" t="n">
        <f aca="false">IFERROR(DATEVALUE(Orders_Raw!D337),"")</f>
        <v>46101</v>
      </c>
      <c r="E337" s="4" t="str">
        <f aca="false">IF(D337="","No","Yes")</f>
        <v>Yes</v>
      </c>
      <c r="F337" s="4" t="n">
        <f aca="false">IFERROR(VALUE(SUBSTITUTE(SUBSTITUTE(SUBSTITUTE(Orders_Raw!G337,"$",""),"NGN",""),",","")),"")</f>
        <v>587.89</v>
      </c>
      <c r="G337" s="4" t="str">
        <f aca="false">IF(F337="","No","Yes")</f>
        <v>Yes</v>
      </c>
      <c r="H337" s="4" t="str">
        <f aca="false">Orders_Raw!F337</f>
        <v>2</v>
      </c>
      <c r="I337" s="4" t="str">
        <f aca="false">IF(H337="","No",IF(H337&lt;=0,"No","Yes"))</f>
        <v>Yes</v>
      </c>
      <c r="J337" s="4" t="str">
        <f aca="false">Orders_Raw!E337</f>
        <v>Headphones</v>
      </c>
      <c r="K337" s="4" t="str">
        <f aca="false">Orders_Raw!H337</f>
        <v>2026-03-20 11:13</v>
      </c>
      <c r="L337" s="4" t="str">
        <f aca="false">IF(COUNTIF(Orders_Raw!$A$5:$A$539,A337)&gt;1,"YES","No")</f>
        <v>No</v>
      </c>
      <c r="M337" s="4" t="str">
        <f aca="false">IF(COUNTIFS($B$5:$B$539,B337,$D$5:$D$539,D337,$F$5:$F$539,F337)&gt;1,"YES","No")</f>
        <v>No</v>
      </c>
      <c r="N337" s="4" t="str">
        <f aca="false">IFERROR(INDEX(Customer_Master!$B$5:$B$64,MATCH(B337,Customer_Master!$A$5:$A$64,0)),"UNMATCHED")</f>
        <v>Chidi Umeh</v>
      </c>
      <c r="O337" s="4" t="str">
        <f aca="false">IFERROR(INDEX(Customer_Master!$C$5:$C$64,MATCH(B337,Customer_Master!$A$5:$A$64,0)),"UNMATCHED")</f>
        <v>Champions</v>
      </c>
      <c r="P337" s="4" t="str">
        <f aca="false">IFERROR(INDEX(Customer_Master!$D$5:$D$64,MATCH(B337,Customer_Master!$A$5:$A$64,0)),"UNMATCHED")</f>
        <v>Kano</v>
      </c>
      <c r="Q337" s="4" t="str">
        <f aca="false">IF(N337="UNMATCHED","Unmatched","Matched")</f>
        <v>Matched</v>
      </c>
      <c r="R337" s="4" t="str">
        <f aca="false">IF(OR(E337="No",G337="No",I337="No",L337="YES",Q337="Unmatched"),"NEEDS REVIEW","OK")</f>
        <v>OK</v>
      </c>
    </row>
    <row r="338" customFormat="false" ht="15" hidden="false" customHeight="false" outlineLevel="0" collapsed="false">
      <c r="A338" s="4" t="str">
        <f aca="false">Orders_Raw!A338</f>
        <v>ORD00124</v>
      </c>
      <c r="B338" s="4" t="str">
        <f aca="false">TRIM(UPPER(Orders_Raw!B338))</f>
        <v>CUST0056</v>
      </c>
      <c r="C338" s="4" t="str">
        <f aca="false">PROPER(TRIM(Orders_Raw!C338))</f>
        <v>Tunde Yakubu</v>
      </c>
      <c r="D338" s="6" t="n">
        <f aca="false">IFERROR(DATEVALUE(Orders_Raw!D338),"")</f>
        <v>46329</v>
      </c>
      <c r="E338" s="4" t="str">
        <f aca="false">IF(D338="","No","Yes")</f>
        <v>Yes</v>
      </c>
      <c r="F338" s="4" t="n">
        <f aca="false">IFERROR(VALUE(SUBSTITUTE(SUBSTITUTE(SUBSTITUTE(Orders_Raw!G338,"$",""),"NGN",""),",","")),"")</f>
        <v>2001.37</v>
      </c>
      <c r="G338" s="4" t="str">
        <f aca="false">IF(F338="","No","Yes")</f>
        <v>Yes</v>
      </c>
      <c r="H338" s="4" t="str">
        <f aca="false">Orders_Raw!F338</f>
        <v>2</v>
      </c>
      <c r="I338" s="4" t="str">
        <f aca="false">IF(H338="","No",IF(H338&lt;=0,"No","Yes"))</f>
        <v>Yes</v>
      </c>
      <c r="J338" s="4" t="str">
        <f aca="false">Orders_Raw!E338</f>
        <v>Monitor</v>
      </c>
      <c r="K338" s="4" t="str">
        <f aca="false">Orders_Raw!H338</f>
        <v>2026-03-11 13:11</v>
      </c>
      <c r="L338" s="4" t="str">
        <f aca="false">IF(COUNTIF(Orders_Raw!$A$5:$A$539,A338)&gt;1,"YES","No")</f>
        <v>YES</v>
      </c>
      <c r="M338" s="4" t="str">
        <f aca="false">IF(COUNTIFS($B$5:$B$539,B338,$D$5:$D$539,D338,$F$5:$F$539,F338)&gt;1,"YES","No")</f>
        <v>YES</v>
      </c>
      <c r="N338" s="4" t="str">
        <f aca="false">IFERROR(INDEX(Customer_Master!$B$5:$B$64,MATCH(B338,Customer_Master!$A$5:$A$64,0)),"UNMATCHED")</f>
        <v>Tunde Yakubu</v>
      </c>
      <c r="O338" s="4" t="str">
        <f aca="false">IFERROR(INDEX(Customer_Master!$C$5:$C$64,MATCH(B338,Customer_Master!$A$5:$A$64,0)),"UNMATCHED")</f>
        <v>Lost / Low-Value</v>
      </c>
      <c r="P338" s="4" t="str">
        <f aca="false">IFERROR(INDEX(Customer_Master!$D$5:$D$64,MATCH(B338,Customer_Master!$A$5:$A$64,0)),"UNMATCHED")</f>
        <v>Kano</v>
      </c>
      <c r="Q338" s="4" t="str">
        <f aca="false">IF(N338="UNMATCHED","Unmatched","Matched")</f>
        <v>Matched</v>
      </c>
      <c r="R338" s="4" t="str">
        <f aca="false">IF(OR(E338="No",G338="No",I338="No",L338="YES",Q338="Unmatched"),"NEEDS REVIEW","OK")</f>
        <v>NEEDS REVIEW</v>
      </c>
    </row>
    <row r="339" customFormat="false" ht="15" hidden="false" customHeight="false" outlineLevel="0" collapsed="false">
      <c r="A339" s="4" t="str">
        <f aca="false">Orders_Raw!A339</f>
        <v>ORD00254</v>
      </c>
      <c r="B339" s="4" t="str">
        <f aca="false">TRIM(UPPER(Orders_Raw!B339))</f>
        <v>CUST0054</v>
      </c>
      <c r="C339" s="4" t="str">
        <f aca="false">PROPER(TRIM(Orders_Raw!C339))</f>
        <v>Samuel Ajayi</v>
      </c>
      <c r="D339" s="6" t="n">
        <f aca="false">IFERROR(DATEVALUE(Orders_Raw!D339),"")</f>
        <v>46046</v>
      </c>
      <c r="E339" s="4" t="str">
        <f aca="false">IF(D339="","No","Yes")</f>
        <v>Yes</v>
      </c>
      <c r="F339" s="4" t="n">
        <f aca="false">IFERROR(VALUE(SUBSTITUTE(SUBSTITUTE(SUBSTITUTE(Orders_Raw!G339,"$",""),"NGN",""),",","")),"")</f>
        <v>2421.47</v>
      </c>
      <c r="G339" s="4" t="str">
        <f aca="false">IF(F339="","No","Yes")</f>
        <v>Yes</v>
      </c>
      <c r="H339" s="4" t="str">
        <f aca="false">Orders_Raw!F339</f>
        <v>3</v>
      </c>
      <c r="I339" s="4" t="str">
        <f aca="false">IF(H339="","No",IF(H339&lt;=0,"No","Yes"))</f>
        <v>Yes</v>
      </c>
      <c r="J339" s="4" t="str">
        <f aca="false">Orders_Raw!E339</f>
        <v>Headphones</v>
      </c>
      <c r="K339" s="4" t="str">
        <f aca="false">Orders_Raw!H339</f>
        <v>2026-01-24 08:25</v>
      </c>
      <c r="L339" s="4" t="str">
        <f aca="false">IF(COUNTIF(Orders_Raw!$A$5:$A$539,A339)&gt;1,"YES","No")</f>
        <v>No</v>
      </c>
      <c r="M339" s="4" t="str">
        <f aca="false">IF(COUNTIFS($B$5:$B$539,B339,$D$5:$D$539,D339,$F$5:$F$539,F339)&gt;1,"YES","No")</f>
        <v>No</v>
      </c>
      <c r="N339" s="4" t="str">
        <f aca="false">IFERROR(INDEX(Customer_Master!$B$5:$B$64,MATCH(B339,Customer_Master!$A$5:$A$64,0)),"UNMATCHED")</f>
        <v>Samuel Ajayi</v>
      </c>
      <c r="O339" s="4" t="str">
        <f aca="false">IFERROR(INDEX(Customer_Master!$C$5:$C$64,MATCH(B339,Customer_Master!$A$5:$A$64,0)),"UNMATCHED")</f>
        <v>At Risk</v>
      </c>
      <c r="P339" s="4" t="str">
        <f aca="false">IFERROR(INDEX(Customer_Master!$D$5:$D$64,MATCH(B339,Customer_Master!$A$5:$A$64,0)),"UNMATCHED")</f>
        <v>Kaduna</v>
      </c>
      <c r="Q339" s="4" t="str">
        <f aca="false">IF(N339="UNMATCHED","Unmatched","Matched")</f>
        <v>Matched</v>
      </c>
      <c r="R339" s="4" t="str">
        <f aca="false">IF(OR(E339="No",G339="No",I339="No",L339="YES",Q339="Unmatched"),"NEEDS REVIEW","OK")</f>
        <v>OK</v>
      </c>
    </row>
    <row r="340" customFormat="false" ht="15" hidden="false" customHeight="false" outlineLevel="0" collapsed="false">
      <c r="A340" s="4" t="str">
        <f aca="false">Orders_Raw!A340</f>
        <v>ORD00232</v>
      </c>
      <c r="B340" s="4" t="str">
        <f aca="false">TRIM(UPPER(Orders_Raw!B340))</f>
        <v>CUST0015</v>
      </c>
      <c r="C340" s="4" t="str">
        <f aca="false">PROPER(TRIM(Orders_Raw!C340))</f>
        <v>Ahmed Nwosu</v>
      </c>
      <c r="D340" s="6" t="n">
        <f aca="false">IFERROR(DATEVALUE(Orders_Raw!D340),"")</f>
        <v>46049</v>
      </c>
      <c r="E340" s="4" t="str">
        <f aca="false">IF(D340="","No","Yes")</f>
        <v>Yes</v>
      </c>
      <c r="F340" s="4" t="n">
        <f aca="false">IFERROR(VALUE(SUBSTITUTE(SUBSTITUTE(SUBSTITUTE(Orders_Raw!G340,"$",""),"NGN",""),",","")),"")</f>
        <v>928.39</v>
      </c>
      <c r="G340" s="4" t="str">
        <f aca="false">IF(F340="","No","Yes")</f>
        <v>Yes</v>
      </c>
      <c r="H340" s="4" t="str">
        <f aca="false">Orders_Raw!F340</f>
        <v>1</v>
      </c>
      <c r="I340" s="4" t="str">
        <f aca="false">IF(H340="","No",IF(H340&lt;=0,"No","Yes"))</f>
        <v>Yes</v>
      </c>
      <c r="J340" s="4" t="str">
        <f aca="false">Orders_Raw!E340</f>
        <v>Headphones</v>
      </c>
      <c r="K340" s="4" t="str">
        <f aca="false">Orders_Raw!H340</f>
        <v>2026-01-27 18:43</v>
      </c>
      <c r="L340" s="4" t="str">
        <f aca="false">IF(COUNTIF(Orders_Raw!$A$5:$A$539,A340)&gt;1,"YES","No")</f>
        <v>No</v>
      </c>
      <c r="M340" s="4" t="str">
        <f aca="false">IF(COUNTIFS($B$5:$B$539,B340,$D$5:$D$539,D340,$F$5:$F$539,F340)&gt;1,"YES","No")</f>
        <v>No</v>
      </c>
      <c r="N340" s="4" t="str">
        <f aca="false">IFERROR(INDEX(Customer_Master!$B$5:$B$64,MATCH(B340,Customer_Master!$A$5:$A$64,0)),"UNMATCHED")</f>
        <v>Ahmed Nwosu</v>
      </c>
      <c r="O340" s="4" t="str">
        <f aca="false">IFERROR(INDEX(Customer_Master!$C$5:$C$64,MATCH(B340,Customer_Master!$A$5:$A$64,0)),"UNMATCHED")</f>
        <v>Champions</v>
      </c>
      <c r="P340" s="4" t="str">
        <f aca="false">IFERROR(INDEX(Customer_Master!$D$5:$D$64,MATCH(B340,Customer_Master!$A$5:$A$64,0)),"UNMATCHED")</f>
        <v>Lagos</v>
      </c>
      <c r="Q340" s="4" t="str">
        <f aca="false">IF(N340="UNMATCHED","Unmatched","Matched")</f>
        <v>Matched</v>
      </c>
      <c r="R340" s="4" t="str">
        <f aca="false">IF(OR(E340="No",G340="No",I340="No",L340="YES",Q340="Unmatched"),"NEEDS REVIEW","OK")</f>
        <v>OK</v>
      </c>
    </row>
    <row r="341" customFormat="false" ht="15" hidden="false" customHeight="false" outlineLevel="0" collapsed="false">
      <c r="A341" s="4" t="str">
        <f aca="false">Orders_Raw!A341</f>
        <v>ORD00420</v>
      </c>
      <c r="B341" s="4" t="str">
        <f aca="false">TRIM(UPPER(Orders_Raw!B341))</f>
        <v>CUST0024</v>
      </c>
      <c r="C341" s="4" t="str">
        <f aca="false">PROPER(TRIM(Orders_Raw!C341))</f>
        <v>Aisha Adeyemi</v>
      </c>
      <c r="D341" s="6" t="n">
        <f aca="false">IFERROR(DATEVALUE(Orders_Raw!D341),"")</f>
        <v>46026</v>
      </c>
      <c r="E341" s="4" t="str">
        <f aca="false">IF(D341="","No","Yes")</f>
        <v>Yes</v>
      </c>
      <c r="F341" s="4" t="n">
        <f aca="false">IFERROR(VALUE(SUBSTITUTE(SUBSTITUTE(SUBSTITUTE(Orders_Raw!G341,"$",""),"NGN",""),",","")),"")</f>
        <v>1644.54</v>
      </c>
      <c r="G341" s="4" t="str">
        <f aca="false">IF(F341="","No","Yes")</f>
        <v>Yes</v>
      </c>
      <c r="H341" s="4" t="str">
        <f aca="false">Orders_Raw!F341</f>
        <v>2</v>
      </c>
      <c r="I341" s="4" t="str">
        <f aca="false">IF(H341="","No",IF(H341&lt;=0,"No","Yes"))</f>
        <v>Yes</v>
      </c>
      <c r="J341" s="4" t="str">
        <f aca="false">Orders_Raw!E341</f>
        <v>Tablet</v>
      </c>
      <c r="K341" s="4" t="str">
        <f aca="false">Orders_Raw!H341</f>
        <v>2026-01-04 14:52</v>
      </c>
      <c r="L341" s="4" t="str">
        <f aca="false">IF(COUNTIF(Orders_Raw!$A$5:$A$539,A341)&gt;1,"YES","No")</f>
        <v>No</v>
      </c>
      <c r="M341" s="4" t="str">
        <f aca="false">IF(COUNTIFS($B$5:$B$539,B341,$D$5:$D$539,D341,$F$5:$F$539,F341)&gt;1,"YES","No")</f>
        <v>No</v>
      </c>
      <c r="N341" s="4" t="str">
        <f aca="false">IFERROR(INDEX(Customer_Master!$B$5:$B$64,MATCH(B341,Customer_Master!$A$5:$A$64,0)),"UNMATCHED")</f>
        <v>Aisha Adeyemi</v>
      </c>
      <c r="O341" s="4" t="str">
        <f aca="false">IFERROR(INDEX(Customer_Master!$C$5:$C$64,MATCH(B341,Customer_Master!$A$5:$A$64,0)),"UNMATCHED")</f>
        <v>At Risk</v>
      </c>
      <c r="P341" s="4" t="str">
        <f aca="false">IFERROR(INDEX(Customer_Master!$D$5:$D$64,MATCH(B341,Customer_Master!$A$5:$A$64,0)),"UNMATCHED")</f>
        <v>Enugu</v>
      </c>
      <c r="Q341" s="4" t="str">
        <f aca="false">IF(N341="UNMATCHED","Unmatched","Matched")</f>
        <v>Matched</v>
      </c>
      <c r="R341" s="4" t="str">
        <f aca="false">IF(OR(E341="No",G341="No",I341="No",L341="YES",Q341="Unmatched"),"NEEDS REVIEW","OK")</f>
        <v>OK</v>
      </c>
    </row>
    <row r="342" customFormat="false" ht="15" hidden="false" customHeight="false" outlineLevel="0" collapsed="false">
      <c r="A342" s="4" t="str">
        <f aca="false">Orders_Raw!A342</f>
        <v>ORD00246</v>
      </c>
      <c r="B342" s="4" t="str">
        <f aca="false">TRIM(UPPER(Orders_Raw!B342))</f>
        <v>CUST0052</v>
      </c>
      <c r="C342" s="4" t="str">
        <f aca="false">PROPER(TRIM(Orders_Raw!C342))</f>
        <v>Mary Adeyemi</v>
      </c>
      <c r="D342" s="6" t="str">
        <f aca="false">IFERROR(DATEVALUE(Orders_Raw!D342),"")</f>
        <v/>
      </c>
      <c r="E342" s="4" t="str">
        <f aca="false">IF(D342="","No","Yes")</f>
        <v>No</v>
      </c>
      <c r="F342" s="4" t="n">
        <f aca="false">IFERROR(VALUE(SUBSTITUTE(SUBSTITUTE(SUBSTITUTE(Orders_Raw!G342,"$",""),"NGN",""),",","")),"")</f>
        <v>2194.32</v>
      </c>
      <c r="G342" s="4" t="str">
        <f aca="false">IF(F342="","No","Yes")</f>
        <v>Yes</v>
      </c>
      <c r="H342" s="4" t="str">
        <f aca="false">Orders_Raw!F342</f>
        <v>5</v>
      </c>
      <c r="I342" s="4" t="str">
        <f aca="false">IF(H342="","No",IF(H342&lt;=0,"No","Yes"))</f>
        <v>Yes</v>
      </c>
      <c r="J342" s="4" t="str">
        <f aca="false">Orders_Raw!E342</f>
        <v>Tablet</v>
      </c>
      <c r="K342" s="4" t="str">
        <f aca="false">Orders_Raw!H342</f>
        <v>2026-04-13 15:00</v>
      </c>
      <c r="L342" s="4" t="str">
        <f aca="false">IF(COUNTIF(Orders_Raw!$A$5:$A$539,A342)&gt;1,"YES","No")</f>
        <v>No</v>
      </c>
      <c r="M342" s="4" t="str">
        <f aca="false">IF(COUNTIFS($B$5:$B$539,B342,$D$5:$D$539,D342,$F$5:$F$539,F342)&gt;1,"YES","No")</f>
        <v>No</v>
      </c>
      <c r="N342" s="4" t="str">
        <f aca="false">IFERROR(INDEX(Customer_Master!$B$5:$B$64,MATCH(B342,Customer_Master!$A$5:$A$64,0)),"UNMATCHED")</f>
        <v>Mary Adeyemi</v>
      </c>
      <c r="O342" s="4" t="str">
        <f aca="false">IFERROR(INDEX(Customer_Master!$C$5:$C$64,MATCH(B342,Customer_Master!$A$5:$A$64,0)),"UNMATCHED")</f>
        <v>Loyal</v>
      </c>
      <c r="P342" s="4" t="str">
        <f aca="false">IFERROR(INDEX(Customer_Master!$D$5:$D$64,MATCH(B342,Customer_Master!$A$5:$A$64,0)),"UNMATCHED")</f>
        <v>Abuja</v>
      </c>
      <c r="Q342" s="4" t="str">
        <f aca="false">IF(N342="UNMATCHED","Unmatched","Matched")</f>
        <v>Matched</v>
      </c>
      <c r="R342" s="4" t="str">
        <f aca="false">IF(OR(E342="No",G342="No",I342="No",L342="YES",Q342="Unmatched"),"NEEDS REVIEW","OK")</f>
        <v>NEEDS REVIEW</v>
      </c>
    </row>
    <row r="343" customFormat="false" ht="15" hidden="false" customHeight="false" outlineLevel="0" collapsed="false">
      <c r="A343" s="4" t="str">
        <f aca="false">Orders_Raw!A343</f>
        <v>ORD00202</v>
      </c>
      <c r="B343" s="4" t="str">
        <f aca="false">TRIM(UPPER(Orders_Raw!B343))</f>
        <v>CUST0021</v>
      </c>
      <c r="C343" s="4" t="str">
        <f aca="false">PROPER(TRIM(Orders_Raw!C343))</f>
        <v>Joy Ajayi</v>
      </c>
      <c r="D343" s="6" t="n">
        <f aca="false">IFERROR(DATEVALUE(Orders_Raw!D343),"")</f>
        <v>46145</v>
      </c>
      <c r="E343" s="4" t="str">
        <f aca="false">IF(D343="","No","Yes")</f>
        <v>Yes</v>
      </c>
      <c r="F343" s="4" t="n">
        <f aca="false">IFERROR(VALUE(SUBSTITUTE(SUBSTITUTE(SUBSTITUTE(Orders_Raw!G343,"$",""),"NGN",""),",","")),"")</f>
        <v>456.43</v>
      </c>
      <c r="G343" s="4" t="str">
        <f aca="false">IF(F343="","No","Yes")</f>
        <v>Yes</v>
      </c>
      <c r="H343" s="4" t="str">
        <f aca="false">Orders_Raw!F343</f>
        <v>2</v>
      </c>
      <c r="I343" s="4" t="str">
        <f aca="false">IF(H343="","No",IF(H343&lt;=0,"No","Yes"))</f>
        <v>Yes</v>
      </c>
      <c r="J343" s="4" t="str">
        <f aca="false">Orders_Raw!E343</f>
        <v>Printer</v>
      </c>
      <c r="K343" s="4" t="str">
        <f aca="false">Orders_Raw!H343</f>
        <v>2026-05-03 17:50</v>
      </c>
      <c r="L343" s="4" t="str">
        <f aca="false">IF(COUNTIF(Orders_Raw!$A$5:$A$539,A343)&gt;1,"YES","No")</f>
        <v>No</v>
      </c>
      <c r="M343" s="4" t="str">
        <f aca="false">IF(COUNTIFS($B$5:$B$539,B343,$D$5:$D$539,D343,$F$5:$F$539,F343)&gt;1,"YES","No")</f>
        <v>No</v>
      </c>
      <c r="N343" s="4" t="str">
        <f aca="false">IFERROR(INDEX(Customer_Master!$B$5:$B$64,MATCH(B343,Customer_Master!$A$5:$A$64,0)),"UNMATCHED")</f>
        <v>Joy Ajayi</v>
      </c>
      <c r="O343" s="4" t="str">
        <f aca="false">IFERROR(INDEX(Customer_Master!$C$5:$C$64,MATCH(B343,Customer_Master!$A$5:$A$64,0)),"UNMATCHED")</f>
        <v>Loyal</v>
      </c>
      <c r="P343" s="4" t="str">
        <f aca="false">IFERROR(INDEX(Customer_Master!$D$5:$D$64,MATCH(B343,Customer_Master!$A$5:$A$64,0)),"UNMATCHED")</f>
        <v>Kaduna</v>
      </c>
      <c r="Q343" s="4" t="str">
        <f aca="false">IF(N343="UNMATCHED","Unmatched","Matched")</f>
        <v>Matched</v>
      </c>
      <c r="R343" s="4" t="str">
        <f aca="false">IF(OR(E343="No",G343="No",I343="No",L343="YES",Q343="Unmatched"),"NEEDS REVIEW","OK")</f>
        <v>OK</v>
      </c>
    </row>
    <row r="344" customFormat="false" ht="15" hidden="false" customHeight="false" outlineLevel="0" collapsed="false">
      <c r="A344" s="4" t="str">
        <f aca="false">Orders_Raw!A344</f>
        <v>ORD00490</v>
      </c>
      <c r="B344" s="4" t="str">
        <f aca="false">TRIM(UPPER(Orders_Raw!B344))</f>
        <v>CUST0038</v>
      </c>
      <c r="C344" s="4" t="str">
        <f aca="false">PROPER(TRIM(Orders_Raw!C344))</f>
        <v>James Sani</v>
      </c>
      <c r="D344" s="6" t="n">
        <f aca="false">IFERROR(DATEVALUE(Orders_Raw!D344),"")</f>
        <v>46060</v>
      </c>
      <c r="E344" s="4" t="str">
        <f aca="false">IF(D344="","No","Yes")</f>
        <v>Yes</v>
      </c>
      <c r="F344" s="4" t="n">
        <f aca="false">IFERROR(VALUE(SUBSTITUTE(SUBSTITUTE(SUBSTITUTE(Orders_Raw!G344,"$",""),"NGN",""),",","")),"")</f>
        <v>1023.99</v>
      </c>
      <c r="G344" s="4" t="str">
        <f aca="false">IF(F344="","No","Yes")</f>
        <v>Yes</v>
      </c>
      <c r="H344" s="4" t="str">
        <f aca="false">Orders_Raw!F344</f>
        <v>3</v>
      </c>
      <c r="I344" s="4" t="str">
        <f aca="false">IF(H344="","No",IF(H344&lt;=0,"No","Yes"))</f>
        <v>Yes</v>
      </c>
      <c r="J344" s="4" t="str">
        <f aca="false">Orders_Raw!E344</f>
        <v>Headphones</v>
      </c>
      <c r="K344" s="4" t="str">
        <f aca="false">Orders_Raw!H344</f>
        <v>2026-07-02 11:35</v>
      </c>
      <c r="L344" s="4" t="str">
        <f aca="false">IF(COUNTIF(Orders_Raw!$A$5:$A$539,A344)&gt;1,"YES","No")</f>
        <v>No</v>
      </c>
      <c r="M344" s="4" t="str">
        <f aca="false">IF(COUNTIFS($B$5:$B$539,B344,$D$5:$D$539,D344,$F$5:$F$539,F344)&gt;1,"YES","No")</f>
        <v>No</v>
      </c>
      <c r="N344" s="4" t="str">
        <f aca="false">IFERROR(INDEX(Customer_Master!$B$5:$B$64,MATCH(B344,Customer_Master!$A$5:$A$64,0)),"UNMATCHED")</f>
        <v>James Sani</v>
      </c>
      <c r="O344" s="4" t="str">
        <f aca="false">IFERROR(INDEX(Customer_Master!$C$5:$C$64,MATCH(B344,Customer_Master!$A$5:$A$64,0)),"UNMATCHED")</f>
        <v>New</v>
      </c>
      <c r="P344" s="4" t="str">
        <f aca="false">IFERROR(INDEX(Customer_Master!$D$5:$D$64,MATCH(B344,Customer_Master!$A$5:$A$64,0)),"UNMATCHED")</f>
        <v>Port Harcourt</v>
      </c>
      <c r="Q344" s="4" t="str">
        <f aca="false">IF(N344="UNMATCHED","Unmatched","Matched")</f>
        <v>Matched</v>
      </c>
      <c r="R344" s="4" t="str">
        <f aca="false">IF(OR(E344="No",G344="No",I344="No",L344="YES",Q344="Unmatched"),"NEEDS REVIEW","OK")</f>
        <v>OK</v>
      </c>
    </row>
    <row r="345" customFormat="false" ht="15" hidden="false" customHeight="false" outlineLevel="0" collapsed="false">
      <c r="A345" s="4" t="str">
        <f aca="false">Orders_Raw!A345</f>
        <v>ORD00218</v>
      </c>
      <c r="B345" s="4" t="str">
        <f aca="false">TRIM(UPPER(Orders_Raw!B345))</f>
        <v>CUST0042</v>
      </c>
      <c r="C345" s="4" t="str">
        <f aca="false">PROPER(TRIM(Orders_Raw!C345))</f>
        <v>Bisi Chukwu</v>
      </c>
      <c r="D345" s="6" t="str">
        <f aca="false">IFERROR(DATEVALUE(Orders_Raw!D345),"")</f>
        <v/>
      </c>
      <c r="E345" s="4" t="str">
        <f aca="false">IF(D345="","No","Yes")</f>
        <v>No</v>
      </c>
      <c r="F345" s="4" t="n">
        <f aca="false">IFERROR(VALUE(SUBSTITUTE(SUBSTITUTE(SUBSTITUTE(Orders_Raw!G345,"$",""),"NGN",""),",","")),"")</f>
        <v>1229.42</v>
      </c>
      <c r="G345" s="4" t="str">
        <f aca="false">IF(F345="","No","Yes")</f>
        <v>Yes</v>
      </c>
      <c r="H345" s="4" t="str">
        <f aca="false">Orders_Raw!F345</f>
        <v>3</v>
      </c>
      <c r="I345" s="4" t="str">
        <f aca="false">IF(H345="","No",IF(H345&lt;=0,"No","Yes"))</f>
        <v>Yes</v>
      </c>
      <c r="J345" s="4" t="str">
        <f aca="false">Orders_Raw!E345</f>
        <v>Mouse</v>
      </c>
      <c r="K345" s="4" t="str">
        <f aca="false">Orders_Raw!H345</f>
        <v>2026-04-17 08:17</v>
      </c>
      <c r="L345" s="4" t="str">
        <f aca="false">IF(COUNTIF(Orders_Raw!$A$5:$A$539,A345)&gt;1,"YES","No")</f>
        <v>No</v>
      </c>
      <c r="M345" s="4" t="str">
        <f aca="false">IF(COUNTIFS($B$5:$B$539,B345,$D$5:$D$539,D345,$F$5:$F$539,F345)&gt;1,"YES","No")</f>
        <v>No</v>
      </c>
      <c r="N345" s="4" t="str">
        <f aca="false">IFERROR(INDEX(Customer_Master!$B$5:$B$64,MATCH(B345,Customer_Master!$A$5:$A$64,0)),"UNMATCHED")</f>
        <v>Bisi Chukwu</v>
      </c>
      <c r="O345" s="4" t="str">
        <f aca="false">IFERROR(INDEX(Customer_Master!$C$5:$C$64,MATCH(B345,Customer_Master!$A$5:$A$64,0)),"UNMATCHED")</f>
        <v>At Risk</v>
      </c>
      <c r="P345" s="4" t="str">
        <f aca="false">IFERROR(INDEX(Customer_Master!$D$5:$D$64,MATCH(B345,Customer_Master!$A$5:$A$64,0)),"UNMATCHED")</f>
        <v>Kano</v>
      </c>
      <c r="Q345" s="4" t="str">
        <f aca="false">IF(N345="UNMATCHED","Unmatched","Matched")</f>
        <v>Matched</v>
      </c>
      <c r="R345" s="4" t="str">
        <f aca="false">IF(OR(E345="No",G345="No",I345="No",L345="YES",Q345="Unmatched"),"NEEDS REVIEW","OK")</f>
        <v>NEEDS REVIEW</v>
      </c>
    </row>
    <row r="346" customFormat="false" ht="15" hidden="false" customHeight="false" outlineLevel="0" collapsed="false">
      <c r="A346" s="4" t="str">
        <f aca="false">Orders_Raw!A346</f>
        <v>ORD00018</v>
      </c>
      <c r="B346" s="4" t="str">
        <f aca="false">TRIM(UPPER(Orders_Raw!B346))</f>
        <v>CUST0034</v>
      </c>
      <c r="C346" s="4" t="str">
        <f aca="false">PROPER(TRIM(Orders_Raw!C346))</f>
        <v>Musa Abubakar</v>
      </c>
      <c r="D346" s="6" t="n">
        <f aca="false">IFERROR(DATEVALUE(Orders_Raw!D346),"")</f>
        <v>46357</v>
      </c>
      <c r="E346" s="4" t="str">
        <f aca="false">IF(D346="","No","Yes")</f>
        <v>Yes</v>
      </c>
      <c r="F346" s="4" t="n">
        <f aca="false">IFERROR(VALUE(SUBSTITUTE(SUBSTITUTE(SUBSTITUTE(Orders_Raw!G346,"$",""),"NGN",""),",","")),"")</f>
        <v>19.2</v>
      </c>
      <c r="G346" s="4" t="str">
        <f aca="false">IF(F346="","No","Yes")</f>
        <v>Yes</v>
      </c>
      <c r="H346" s="4" t="str">
        <f aca="false">Orders_Raw!F346</f>
        <v>4</v>
      </c>
      <c r="I346" s="4" t="str">
        <f aca="false">IF(H346="","No",IF(H346&lt;=0,"No","Yes"))</f>
        <v>Yes</v>
      </c>
      <c r="J346" s="4" t="str">
        <f aca="false">Orders_Raw!E346</f>
        <v>Charger</v>
      </c>
      <c r="K346" s="4" t="str">
        <f aca="false">Orders_Raw!H346</f>
        <v>2026-01-12 13:27</v>
      </c>
      <c r="L346" s="4" t="str">
        <f aca="false">IF(COUNTIF(Orders_Raw!$A$5:$A$539,A346)&gt;1,"YES","No")</f>
        <v>No</v>
      </c>
      <c r="M346" s="4" t="str">
        <f aca="false">IF(COUNTIFS($B$5:$B$539,B346,$D$5:$D$539,D346,$F$5:$F$539,F346)&gt;1,"YES","No")</f>
        <v>No</v>
      </c>
      <c r="N346" s="4" t="str">
        <f aca="false">IFERROR(INDEX(Customer_Master!$B$5:$B$64,MATCH(B346,Customer_Master!$A$5:$A$64,0)),"UNMATCHED")</f>
        <v>Samuel Sani</v>
      </c>
      <c r="O346" s="4" t="str">
        <f aca="false">IFERROR(INDEX(Customer_Master!$C$5:$C$64,MATCH(B346,Customer_Master!$A$5:$A$64,0)),"UNMATCHED")</f>
        <v>New</v>
      </c>
      <c r="P346" s="4" t="str">
        <f aca="false">IFERROR(INDEX(Customer_Master!$D$5:$D$64,MATCH(B346,Customer_Master!$A$5:$A$64,0)),"UNMATCHED")</f>
        <v>Lagos</v>
      </c>
      <c r="Q346" s="4" t="str">
        <f aca="false">IF(N346="UNMATCHED","Unmatched","Matched")</f>
        <v>Matched</v>
      </c>
      <c r="R346" s="4" t="str">
        <f aca="false">IF(OR(E346="No",G346="No",I346="No",L346="YES",Q346="Unmatched"),"NEEDS REVIEW","OK")</f>
        <v>OK</v>
      </c>
    </row>
    <row r="347" customFormat="false" ht="15" hidden="false" customHeight="false" outlineLevel="0" collapsed="false">
      <c r="A347" s="4" t="str">
        <f aca="false">Orders_Raw!A347</f>
        <v>ORD00259</v>
      </c>
      <c r="B347" s="4" t="str">
        <f aca="false">TRIM(UPPER(Orders_Raw!B347))</f>
        <v>CUST0016</v>
      </c>
      <c r="C347" s="4" t="str">
        <f aca="false">PROPER(TRIM(Orders_Raw!C347))</f>
        <v>Chidi Ajayi</v>
      </c>
      <c r="D347" s="6" t="n">
        <f aca="false">IFERROR(DATEVALUE(Orders_Raw!D347),"")</f>
        <v>46128</v>
      </c>
      <c r="E347" s="4" t="str">
        <f aca="false">IF(D347="","No","Yes")</f>
        <v>Yes</v>
      </c>
      <c r="F347" s="4" t="n">
        <f aca="false">IFERROR(VALUE(SUBSTITUTE(SUBSTITUTE(SUBSTITUTE(Orders_Raw!G347,"$",""),"NGN",""),",","")),"")</f>
        <v>1205.39</v>
      </c>
      <c r="G347" s="4" t="str">
        <f aca="false">IF(F347="","No","Yes")</f>
        <v>Yes</v>
      </c>
      <c r="H347" s="4" t="str">
        <f aca="false">Orders_Raw!F347</f>
        <v>2</v>
      </c>
      <c r="I347" s="4" t="str">
        <f aca="false">IF(H347="","No",IF(H347&lt;=0,"No","Yes"))</f>
        <v>Yes</v>
      </c>
      <c r="J347" s="4" t="str">
        <f aca="false">Orders_Raw!E347</f>
        <v>Tablet</v>
      </c>
      <c r="K347" s="4" t="str">
        <f aca="false">Orders_Raw!H347</f>
        <v>2026-04-16 11:40</v>
      </c>
      <c r="L347" s="4" t="str">
        <f aca="false">IF(COUNTIF(Orders_Raw!$A$5:$A$539,A347)&gt;1,"YES","No")</f>
        <v>No</v>
      </c>
      <c r="M347" s="4" t="str">
        <f aca="false">IF(COUNTIFS($B$5:$B$539,B347,$D$5:$D$539,D347,$F$5:$F$539,F347)&gt;1,"YES","No")</f>
        <v>No</v>
      </c>
      <c r="N347" s="4" t="str">
        <f aca="false">IFERROR(INDEX(Customer_Master!$B$5:$B$64,MATCH(B347,Customer_Master!$A$5:$A$64,0)),"UNMATCHED")</f>
        <v>Chidi Ajayi</v>
      </c>
      <c r="O347" s="4" t="str">
        <f aca="false">IFERROR(INDEX(Customer_Master!$C$5:$C$64,MATCH(B347,Customer_Master!$A$5:$A$64,0)),"UNMATCHED")</f>
        <v>At Risk</v>
      </c>
      <c r="P347" s="4" t="str">
        <f aca="false">IFERROR(INDEX(Customer_Master!$D$5:$D$64,MATCH(B347,Customer_Master!$A$5:$A$64,0)),"UNMATCHED")</f>
        <v>Abuja</v>
      </c>
      <c r="Q347" s="4" t="str">
        <f aca="false">IF(N347="UNMATCHED","Unmatched","Matched")</f>
        <v>Matched</v>
      </c>
      <c r="R347" s="4" t="str">
        <f aca="false">IF(OR(E347="No",G347="No",I347="No",L347="YES",Q347="Unmatched"),"NEEDS REVIEW","OK")</f>
        <v>OK</v>
      </c>
    </row>
    <row r="348" customFormat="false" ht="15" hidden="false" customHeight="false" outlineLevel="0" collapsed="false">
      <c r="A348" s="4" t="str">
        <f aca="false">Orders_Raw!A348</f>
        <v>ORD00241</v>
      </c>
      <c r="B348" s="4" t="str">
        <f aca="false">TRIM(UPPER(Orders_Raw!B348))</f>
        <v>CUST0009</v>
      </c>
      <c r="C348" s="4" t="str">
        <f aca="false">PROPER(TRIM(Orders_Raw!C348))</f>
        <v>Ngozi Sani</v>
      </c>
      <c r="D348" s="6" t="n">
        <f aca="false">IFERROR(DATEVALUE(Orders_Raw!D348),"")</f>
        <v>46150</v>
      </c>
      <c r="E348" s="4" t="str">
        <f aca="false">IF(D348="","No","Yes")</f>
        <v>Yes</v>
      </c>
      <c r="F348" s="4" t="n">
        <f aca="false">IFERROR(VALUE(SUBSTITUTE(SUBSTITUTE(SUBSTITUTE(Orders_Raw!G348,"$",""),"NGN",""),",","")),"")</f>
        <v>1314.67</v>
      </c>
      <c r="G348" s="4" t="str">
        <f aca="false">IF(F348="","No","Yes")</f>
        <v>Yes</v>
      </c>
      <c r="H348" s="4" t="str">
        <f aca="false">Orders_Raw!F348</f>
        <v>1</v>
      </c>
      <c r="I348" s="4" t="str">
        <f aca="false">IF(H348="","No",IF(H348&lt;=0,"No","Yes"))</f>
        <v>Yes</v>
      </c>
      <c r="J348" s="4" t="str">
        <f aca="false">Orders_Raw!E348</f>
        <v>Mouse</v>
      </c>
      <c r="K348" s="4" t="str">
        <f aca="false">Orders_Raw!H348</f>
        <v>2026-05-08 09:49</v>
      </c>
      <c r="L348" s="4" t="str">
        <f aca="false">IF(COUNTIF(Orders_Raw!$A$5:$A$539,A348)&gt;1,"YES","No")</f>
        <v>No</v>
      </c>
      <c r="M348" s="4" t="str">
        <f aca="false">IF(COUNTIFS($B$5:$B$539,B348,$D$5:$D$539,D348,$F$5:$F$539,F348)&gt;1,"YES","No")</f>
        <v>No</v>
      </c>
      <c r="N348" s="4" t="str">
        <f aca="false">IFERROR(INDEX(Customer_Master!$B$5:$B$64,MATCH(B348,Customer_Master!$A$5:$A$64,0)),"UNMATCHED")</f>
        <v>Ngozi Sani</v>
      </c>
      <c r="O348" s="4" t="str">
        <f aca="false">IFERROR(INDEX(Customer_Master!$C$5:$C$64,MATCH(B348,Customer_Master!$A$5:$A$64,0)),"UNMATCHED")</f>
        <v>Loyal</v>
      </c>
      <c r="P348" s="4" t="str">
        <f aca="false">IFERROR(INDEX(Customer_Master!$D$5:$D$64,MATCH(B348,Customer_Master!$A$5:$A$64,0)),"UNMATCHED")</f>
        <v>Kano</v>
      </c>
      <c r="Q348" s="4" t="str">
        <f aca="false">IF(N348="UNMATCHED","Unmatched","Matched")</f>
        <v>Matched</v>
      </c>
      <c r="R348" s="4" t="str">
        <f aca="false">IF(OR(E348="No",G348="No",I348="No",L348="YES",Q348="Unmatched"),"NEEDS REVIEW","OK")</f>
        <v>OK</v>
      </c>
    </row>
    <row r="349" customFormat="false" ht="15" hidden="false" customHeight="false" outlineLevel="0" collapsed="false">
      <c r="A349" s="4" t="str">
        <f aca="false">Orders_Raw!A349</f>
        <v>ORD00021</v>
      </c>
      <c r="B349" s="4" t="str">
        <f aca="false">TRIM(UPPER(Orders_Raw!B349))</f>
        <v>CUST0036</v>
      </c>
      <c r="C349" s="4" t="str">
        <f aca="false">PROPER(TRIM(Orders_Raw!C349))</f>
        <v>Esther Umeh</v>
      </c>
      <c r="D349" s="6" t="n">
        <f aca="false">IFERROR(DATEVALUE(Orders_Raw!D349),"")</f>
        <v>46096</v>
      </c>
      <c r="E349" s="4" t="str">
        <f aca="false">IF(D349="","No","Yes")</f>
        <v>Yes</v>
      </c>
      <c r="F349" s="4" t="n">
        <f aca="false">IFERROR(VALUE(SUBSTITUTE(SUBSTITUTE(SUBSTITUTE(Orders_Raw!G349,"$",""),"NGN",""),",","")),"")</f>
        <v>1083.27</v>
      </c>
      <c r="G349" s="4" t="str">
        <f aca="false">IF(F349="","No","Yes")</f>
        <v>Yes</v>
      </c>
      <c r="H349" s="4" t="str">
        <f aca="false">Orders_Raw!F349</f>
        <v>3</v>
      </c>
      <c r="I349" s="4" t="str">
        <f aca="false">IF(H349="","No",IF(H349&lt;=0,"No","Yes"))</f>
        <v>Yes</v>
      </c>
      <c r="J349" s="4" t="str">
        <f aca="false">Orders_Raw!E349</f>
        <v>Printer</v>
      </c>
      <c r="K349" s="4" t="str">
        <f aca="false">Orders_Raw!H349</f>
        <v>2026-03-15 18:13</v>
      </c>
      <c r="L349" s="4" t="str">
        <f aca="false">IF(COUNTIF(Orders_Raw!$A$5:$A$539,A349)&gt;1,"YES","No")</f>
        <v>No</v>
      </c>
      <c r="M349" s="4" t="str">
        <f aca="false">IF(COUNTIFS($B$5:$B$539,B349,$D$5:$D$539,D349,$F$5:$F$539,F349)&gt;1,"YES","No")</f>
        <v>No</v>
      </c>
      <c r="N349" s="4" t="str">
        <f aca="false">IFERROR(INDEX(Customer_Master!$B$5:$B$64,MATCH(B349,Customer_Master!$A$5:$A$64,0)),"UNMATCHED")</f>
        <v>Esther Umeh</v>
      </c>
      <c r="O349" s="4" t="str">
        <f aca="false">IFERROR(INDEX(Customer_Master!$C$5:$C$64,MATCH(B349,Customer_Master!$A$5:$A$64,0)),"UNMATCHED")</f>
        <v>Champions</v>
      </c>
      <c r="P349" s="4" t="str">
        <f aca="false">IFERROR(INDEX(Customer_Master!$D$5:$D$64,MATCH(B349,Customer_Master!$A$5:$A$64,0)),"UNMATCHED")</f>
        <v>Ibadan</v>
      </c>
      <c r="Q349" s="4" t="str">
        <f aca="false">IF(N349="UNMATCHED","Unmatched","Matched")</f>
        <v>Matched</v>
      </c>
      <c r="R349" s="4" t="str">
        <f aca="false">IF(OR(E349="No",G349="No",I349="No",L349="YES",Q349="Unmatched"),"NEEDS REVIEW","OK")</f>
        <v>OK</v>
      </c>
    </row>
    <row r="350" customFormat="false" ht="15" hidden="false" customHeight="false" outlineLevel="0" collapsed="false">
      <c r="A350" s="4" t="str">
        <f aca="false">Orders_Raw!A350</f>
        <v>ORD00449</v>
      </c>
      <c r="B350" s="4" t="str">
        <f aca="false">TRIM(UPPER(Orders_Raw!B350))</f>
        <v>CUST0023</v>
      </c>
      <c r="C350" s="4" t="str">
        <f aca="false">PROPER(TRIM(Orders_Raw!C350))</f>
        <v>Chidi Umeh</v>
      </c>
      <c r="D350" s="6" t="n">
        <f aca="false">IFERROR(DATEVALUE(Orders_Raw!D350),"")</f>
        <v>46151</v>
      </c>
      <c r="E350" s="4" t="str">
        <f aca="false">IF(D350="","No","Yes")</f>
        <v>Yes</v>
      </c>
      <c r="F350" s="4" t="n">
        <f aca="false">IFERROR(VALUE(SUBSTITUTE(SUBSTITUTE(SUBSTITUTE(Orders_Raw!G350,"$",""),"NGN",""),",","")),"")</f>
        <v>1179.88</v>
      </c>
      <c r="G350" s="4" t="str">
        <f aca="false">IF(F350="","No","Yes")</f>
        <v>Yes</v>
      </c>
      <c r="H350" s="4" t="str">
        <f aca="false">Orders_Raw!F350</f>
        <v>1</v>
      </c>
      <c r="I350" s="4" t="str">
        <f aca="false">IF(H350="","No",IF(H350&lt;=0,"No","Yes"))</f>
        <v>Yes</v>
      </c>
      <c r="J350" s="4" t="str">
        <f aca="false">Orders_Raw!E350</f>
        <v>Headphones</v>
      </c>
      <c r="K350" s="4" t="str">
        <f aca="false">Orders_Raw!H350</f>
        <v>2026-05-09 10:12</v>
      </c>
      <c r="L350" s="4" t="str">
        <f aca="false">IF(COUNTIF(Orders_Raw!$A$5:$A$539,A350)&gt;1,"YES","No")</f>
        <v>No</v>
      </c>
      <c r="M350" s="4" t="str">
        <f aca="false">IF(COUNTIFS($B$5:$B$539,B350,$D$5:$D$539,D350,$F$5:$F$539,F350)&gt;1,"YES","No")</f>
        <v>No</v>
      </c>
      <c r="N350" s="4" t="str">
        <f aca="false">IFERROR(INDEX(Customer_Master!$B$5:$B$64,MATCH(B350,Customer_Master!$A$5:$A$64,0)),"UNMATCHED")</f>
        <v>Chidi Umeh</v>
      </c>
      <c r="O350" s="4" t="str">
        <f aca="false">IFERROR(INDEX(Customer_Master!$C$5:$C$64,MATCH(B350,Customer_Master!$A$5:$A$64,0)),"UNMATCHED")</f>
        <v>Champions</v>
      </c>
      <c r="P350" s="4" t="str">
        <f aca="false">IFERROR(INDEX(Customer_Master!$D$5:$D$64,MATCH(B350,Customer_Master!$A$5:$A$64,0)),"UNMATCHED")</f>
        <v>Kano</v>
      </c>
      <c r="Q350" s="4" t="str">
        <f aca="false">IF(N350="UNMATCHED","Unmatched","Matched")</f>
        <v>Matched</v>
      </c>
      <c r="R350" s="4" t="str">
        <f aca="false">IF(OR(E350="No",G350="No",I350="No",L350="YES",Q350="Unmatched"),"NEEDS REVIEW","OK")</f>
        <v>OK</v>
      </c>
    </row>
    <row r="351" customFormat="false" ht="15" hidden="false" customHeight="false" outlineLevel="0" collapsed="false">
      <c r="A351" s="4" t="str">
        <f aca="false">Orders_Raw!A351</f>
        <v>ORD00214</v>
      </c>
      <c r="B351" s="4" t="str">
        <f aca="false">TRIM(UPPER(Orders_Raw!B351))</f>
        <v>CUST0056</v>
      </c>
      <c r="C351" s="4" t="str">
        <f aca="false">PROPER(TRIM(Orders_Raw!C351))</f>
        <v>Tunde Yakubu</v>
      </c>
      <c r="D351" s="6" t="n">
        <f aca="false">IFERROR(DATEVALUE(Orders_Raw!D351),"")</f>
        <v>46059</v>
      </c>
      <c r="E351" s="4" t="str">
        <f aca="false">IF(D351="","No","Yes")</f>
        <v>Yes</v>
      </c>
      <c r="F351" s="4" t="n">
        <f aca="false">IFERROR(VALUE(SUBSTITUTE(SUBSTITUTE(SUBSTITUTE(Orders_Raw!G351,"$",""),"NGN",""),",","")),"")</f>
        <v>1534.1</v>
      </c>
      <c r="G351" s="4" t="str">
        <f aca="false">IF(F351="","No","Yes")</f>
        <v>Yes</v>
      </c>
      <c r="H351" s="4" t="str">
        <f aca="false">Orders_Raw!F351</f>
        <v>1</v>
      </c>
      <c r="I351" s="4" t="str">
        <f aca="false">IF(H351="","No",IF(H351&lt;=0,"No","Yes"))</f>
        <v>Yes</v>
      </c>
      <c r="J351" s="4" t="str">
        <f aca="false">Orders_Raw!E351</f>
        <v>Speaker</v>
      </c>
      <c r="K351" s="4" t="str">
        <f aca="false">Orders_Raw!H351</f>
        <v>2026-06-02 10:52</v>
      </c>
      <c r="L351" s="4" t="str">
        <f aca="false">IF(COUNTIF(Orders_Raw!$A$5:$A$539,A351)&gt;1,"YES","No")</f>
        <v>No</v>
      </c>
      <c r="M351" s="4" t="str">
        <f aca="false">IF(COUNTIFS($B$5:$B$539,B351,$D$5:$D$539,D351,$F$5:$F$539,F351)&gt;1,"YES","No")</f>
        <v>No</v>
      </c>
      <c r="N351" s="4" t="str">
        <f aca="false">IFERROR(INDEX(Customer_Master!$B$5:$B$64,MATCH(B351,Customer_Master!$A$5:$A$64,0)),"UNMATCHED")</f>
        <v>Tunde Yakubu</v>
      </c>
      <c r="O351" s="4" t="str">
        <f aca="false">IFERROR(INDEX(Customer_Master!$C$5:$C$64,MATCH(B351,Customer_Master!$A$5:$A$64,0)),"UNMATCHED")</f>
        <v>Lost / Low-Value</v>
      </c>
      <c r="P351" s="4" t="str">
        <f aca="false">IFERROR(INDEX(Customer_Master!$D$5:$D$64,MATCH(B351,Customer_Master!$A$5:$A$64,0)),"UNMATCHED")</f>
        <v>Kano</v>
      </c>
      <c r="Q351" s="4" t="str">
        <f aca="false">IF(N351="UNMATCHED","Unmatched","Matched")</f>
        <v>Matched</v>
      </c>
      <c r="R351" s="4" t="str">
        <f aca="false">IF(OR(E351="No",G351="No",I351="No",L351="YES",Q351="Unmatched"),"NEEDS REVIEW","OK")</f>
        <v>OK</v>
      </c>
    </row>
    <row r="352" customFormat="false" ht="15" hidden="false" customHeight="false" outlineLevel="0" collapsed="false">
      <c r="A352" s="4" t="str">
        <f aca="false">Orders_Raw!A352</f>
        <v>ORD00495</v>
      </c>
      <c r="B352" s="4" t="str">
        <f aca="false">TRIM(UPPER(Orders_Raw!B352))</f>
        <v>CUST0006</v>
      </c>
      <c r="C352" s="4" t="str">
        <f aca="false">PROPER(TRIM(Orders_Raw!C352))</f>
        <v>Joy Nwosu</v>
      </c>
      <c r="D352" s="6" t="n">
        <f aca="false">IFERROR(DATEVALUE(Orders_Raw!D352),"")</f>
        <v>46215</v>
      </c>
      <c r="E352" s="4" t="str">
        <f aca="false">IF(D352="","No","Yes")</f>
        <v>Yes</v>
      </c>
      <c r="F352" s="4" t="n">
        <f aca="false">IFERROR(VALUE(SUBSTITUTE(SUBSTITUTE(SUBSTITUTE(Orders_Raw!G352,"$",""),"NGN",""),",","")),"")</f>
        <v>1170.37</v>
      </c>
      <c r="G352" s="4" t="str">
        <f aca="false">IF(F352="","No","Yes")</f>
        <v>Yes</v>
      </c>
      <c r="H352" s="4" t="str">
        <f aca="false">Orders_Raw!F352</f>
        <v>3</v>
      </c>
      <c r="I352" s="4" t="str">
        <f aca="false">IF(H352="","No",IF(H352&lt;=0,"No","Yes"))</f>
        <v>Yes</v>
      </c>
      <c r="J352" s="4" t="str">
        <f aca="false">Orders_Raw!E352</f>
        <v>Printer</v>
      </c>
      <c r="K352" s="4" t="str">
        <f aca="false">Orders_Raw!H352</f>
        <v>2026-07-12 18:47</v>
      </c>
      <c r="L352" s="4" t="str">
        <f aca="false">IF(COUNTIF(Orders_Raw!$A$5:$A$539,A352)&gt;1,"YES","No")</f>
        <v>No</v>
      </c>
      <c r="M352" s="4" t="str">
        <f aca="false">IF(COUNTIFS($B$5:$B$539,B352,$D$5:$D$539,D352,$F$5:$F$539,F352)&gt;1,"YES","No")</f>
        <v>No</v>
      </c>
      <c r="N352" s="4" t="str">
        <f aca="false">IFERROR(INDEX(Customer_Master!$B$5:$B$64,MATCH(B352,Customer_Master!$A$5:$A$64,0)),"UNMATCHED")</f>
        <v>Joy Nwosu</v>
      </c>
      <c r="O352" s="4" t="str">
        <f aca="false">IFERROR(INDEX(Customer_Master!$C$5:$C$64,MATCH(B352,Customer_Master!$A$5:$A$64,0)),"UNMATCHED")</f>
        <v>New</v>
      </c>
      <c r="P352" s="4" t="str">
        <f aca="false">IFERROR(INDEX(Customer_Master!$D$5:$D$64,MATCH(B352,Customer_Master!$A$5:$A$64,0)),"UNMATCHED")</f>
        <v>Enugu</v>
      </c>
      <c r="Q352" s="4" t="str">
        <f aca="false">IF(N352="UNMATCHED","Unmatched","Matched")</f>
        <v>Matched</v>
      </c>
      <c r="R352" s="4" t="str">
        <f aca="false">IF(OR(E352="No",G352="No",I352="No",L352="YES",Q352="Unmatched"),"NEEDS REVIEW","OK")</f>
        <v>OK</v>
      </c>
    </row>
    <row r="353" customFormat="false" ht="15" hidden="false" customHeight="false" outlineLevel="0" collapsed="false">
      <c r="A353" s="4" t="str">
        <f aca="false">Orders_Raw!A353</f>
        <v>ORD00294</v>
      </c>
      <c r="B353" s="4" t="str">
        <f aca="false">TRIM(UPPER(Orders_Raw!B353))</f>
        <v>CUST0031</v>
      </c>
      <c r="C353" s="4" t="str">
        <f aca="false">PROPER(TRIM(Orders_Raw!C353))</f>
        <v>Emeka Adeyemi</v>
      </c>
      <c r="D353" s="6" t="n">
        <f aca="false">IFERROR(DATEVALUE(Orders_Raw!D353),"")</f>
        <v>46093</v>
      </c>
      <c r="E353" s="4" t="str">
        <f aca="false">IF(D353="","No","Yes")</f>
        <v>Yes</v>
      </c>
      <c r="F353" s="4" t="n">
        <f aca="false">IFERROR(VALUE(SUBSTITUTE(SUBSTITUTE(SUBSTITUTE(Orders_Raw!G353,"$",""),"NGN",""),",","")),"")</f>
        <v>1645.46</v>
      </c>
      <c r="G353" s="4" t="str">
        <f aca="false">IF(F353="","No","Yes")</f>
        <v>Yes</v>
      </c>
      <c r="H353" s="4" t="str">
        <f aca="false">Orders_Raw!F353</f>
        <v>1</v>
      </c>
      <c r="I353" s="4" t="str">
        <f aca="false">IF(H353="","No",IF(H353&lt;=0,"No","Yes"))</f>
        <v>Yes</v>
      </c>
      <c r="J353" s="4" t="str">
        <f aca="false">Orders_Raw!E353</f>
        <v>Laptop</v>
      </c>
      <c r="K353" s="4" t="str">
        <f aca="false">Orders_Raw!H353</f>
        <v>2026-03-12 17:25</v>
      </c>
      <c r="L353" s="4" t="str">
        <f aca="false">IF(COUNTIF(Orders_Raw!$A$5:$A$539,A353)&gt;1,"YES","No")</f>
        <v>No</v>
      </c>
      <c r="M353" s="4" t="str">
        <f aca="false">IF(COUNTIFS($B$5:$B$539,B353,$D$5:$D$539,D353,$F$5:$F$539,F353)&gt;1,"YES","No")</f>
        <v>No</v>
      </c>
      <c r="N353" s="4" t="str">
        <f aca="false">IFERROR(INDEX(Customer_Master!$B$5:$B$64,MATCH(B353,Customer_Master!$A$5:$A$64,0)),"UNMATCHED")</f>
        <v>Emeka Adeyemi</v>
      </c>
      <c r="O353" s="4" t="str">
        <f aca="false">IFERROR(INDEX(Customer_Master!$C$5:$C$64,MATCH(B353,Customer_Master!$A$5:$A$64,0)),"UNMATCHED")</f>
        <v>Champions</v>
      </c>
      <c r="P353" s="4" t="str">
        <f aca="false">IFERROR(INDEX(Customer_Master!$D$5:$D$64,MATCH(B353,Customer_Master!$A$5:$A$64,0)),"UNMATCHED")</f>
        <v>Port Harcourt</v>
      </c>
      <c r="Q353" s="4" t="str">
        <f aca="false">IF(N353="UNMATCHED","Unmatched","Matched")</f>
        <v>Matched</v>
      </c>
      <c r="R353" s="4" t="str">
        <f aca="false">IF(OR(E353="No",G353="No",I353="No",L353="YES",Q353="Unmatched"),"NEEDS REVIEW","OK")</f>
        <v>OK</v>
      </c>
    </row>
    <row r="354" customFormat="false" ht="15" hidden="false" customHeight="false" outlineLevel="0" collapsed="false">
      <c r="A354" s="4" t="str">
        <f aca="false">Orders_Raw!A354</f>
        <v>ORD00471</v>
      </c>
      <c r="B354" s="4" t="str">
        <f aca="false">TRIM(UPPER(Orders_Raw!B354))</f>
        <v>CUST0010</v>
      </c>
      <c r="C354" s="4" t="str">
        <f aca="false">PROPER(TRIM(Orders_Raw!C354))</f>
        <v>Esther Umeh</v>
      </c>
      <c r="D354" s="6" t="str">
        <f aca="false">IFERROR(DATEVALUE(Orders_Raw!D354),"")</f>
        <v/>
      </c>
      <c r="E354" s="4" t="str">
        <f aca="false">IF(D354="","No","Yes")</f>
        <v>No</v>
      </c>
      <c r="F354" s="4" t="n">
        <f aca="false">IFERROR(VALUE(SUBSTITUTE(SUBSTITUTE(SUBSTITUTE(Orders_Raw!G354,"$",""),"NGN",""),",","")),"")</f>
        <v>1571.88</v>
      </c>
      <c r="G354" s="4" t="str">
        <f aca="false">IF(F354="","No","Yes")</f>
        <v>Yes</v>
      </c>
      <c r="H354" s="4" t="str">
        <f aca="false">Orders_Raw!F354</f>
        <v>3</v>
      </c>
      <c r="I354" s="4" t="str">
        <f aca="false">IF(H354="","No",IF(H354&lt;=0,"No","Yes"))</f>
        <v>Yes</v>
      </c>
      <c r="J354" s="4" t="str">
        <f aca="false">Orders_Raw!E354</f>
        <v>Phone</v>
      </c>
      <c r="K354" s="4" t="str">
        <f aca="false">Orders_Raw!H354</f>
        <v>2026-03-28 12:45</v>
      </c>
      <c r="L354" s="4" t="str">
        <f aca="false">IF(COUNTIF(Orders_Raw!$A$5:$A$539,A354)&gt;1,"YES","No")</f>
        <v>No</v>
      </c>
      <c r="M354" s="4" t="str">
        <f aca="false">IF(COUNTIFS($B$5:$B$539,B354,$D$5:$D$539,D354,$F$5:$F$539,F354)&gt;1,"YES","No")</f>
        <v>No</v>
      </c>
      <c r="N354" s="4" t="str">
        <f aca="false">IFERROR(INDEX(Customer_Master!$B$5:$B$64,MATCH(B354,Customer_Master!$A$5:$A$64,0)),"UNMATCHED")</f>
        <v>Esther Umeh</v>
      </c>
      <c r="O354" s="4" t="str">
        <f aca="false">IFERROR(INDEX(Customer_Master!$C$5:$C$64,MATCH(B354,Customer_Master!$A$5:$A$64,0)),"UNMATCHED")</f>
        <v>Champions</v>
      </c>
      <c r="P354" s="4" t="str">
        <f aca="false">IFERROR(INDEX(Customer_Master!$D$5:$D$64,MATCH(B354,Customer_Master!$A$5:$A$64,0)),"UNMATCHED")</f>
        <v>Abuja</v>
      </c>
      <c r="Q354" s="4" t="str">
        <f aca="false">IF(N354="UNMATCHED","Unmatched","Matched")</f>
        <v>Matched</v>
      </c>
      <c r="R354" s="4" t="str">
        <f aca="false">IF(OR(E354="No",G354="No",I354="No",L354="YES",Q354="Unmatched"),"NEEDS REVIEW","OK")</f>
        <v>NEEDS REVIEW</v>
      </c>
    </row>
    <row r="355" customFormat="false" ht="15" hidden="false" customHeight="false" outlineLevel="0" collapsed="false">
      <c r="A355" s="4" t="str">
        <f aca="false">Orders_Raw!A355</f>
        <v>ORD00363</v>
      </c>
      <c r="B355" s="4" t="str">
        <f aca="false">TRIM(UPPER(Orders_Raw!B355))</f>
        <v>CUST0037</v>
      </c>
      <c r="C355" s="4" t="str">
        <f aca="false">PROPER(TRIM(Orders_Raw!C355))</f>
        <v>Blessing Obi</v>
      </c>
      <c r="D355" s="6" t="n">
        <f aca="false">IFERROR(DATEVALUE(Orders_Raw!D355),"")</f>
        <v>46184</v>
      </c>
      <c r="E355" s="4" t="str">
        <f aca="false">IF(D355="","No","Yes")</f>
        <v>Yes</v>
      </c>
      <c r="F355" s="4" t="n">
        <f aca="false">IFERROR(VALUE(SUBSTITUTE(SUBSTITUTE(SUBSTITUTE(Orders_Raw!G355,"$",""),"NGN",""),",","")),"")</f>
        <v>112.39</v>
      </c>
      <c r="G355" s="4" t="str">
        <f aca="false">IF(F355="","No","Yes")</f>
        <v>Yes</v>
      </c>
      <c r="H355" s="4" t="str">
        <f aca="false">Orders_Raw!F355</f>
        <v>1</v>
      </c>
      <c r="I355" s="4" t="str">
        <f aca="false">IF(H355="","No",IF(H355&lt;=0,"No","Yes"))</f>
        <v>Yes</v>
      </c>
      <c r="J355" s="4" t="str">
        <f aca="false">Orders_Raw!E355</f>
        <v>Headphones</v>
      </c>
      <c r="K355" s="4" t="str">
        <f aca="false">Orders_Raw!H355</f>
        <v>2026-06-11 16:25</v>
      </c>
      <c r="L355" s="4" t="str">
        <f aca="false">IF(COUNTIF(Orders_Raw!$A$5:$A$539,A355)&gt;1,"YES","No")</f>
        <v>No</v>
      </c>
      <c r="M355" s="4" t="str">
        <f aca="false">IF(COUNTIFS($B$5:$B$539,B355,$D$5:$D$539,D355,$F$5:$F$539,F355)&gt;1,"YES","No")</f>
        <v>No</v>
      </c>
      <c r="N355" s="4" t="str">
        <f aca="false">IFERROR(INDEX(Customer_Master!$B$5:$B$64,MATCH(B355,Customer_Master!$A$5:$A$64,0)),"UNMATCHED")</f>
        <v>Blessing Obi</v>
      </c>
      <c r="O355" s="4" t="str">
        <f aca="false">IFERROR(INDEX(Customer_Master!$C$5:$C$64,MATCH(B355,Customer_Master!$A$5:$A$64,0)),"UNMATCHED")</f>
        <v>Lost / Low-Value</v>
      </c>
      <c r="P355" s="4" t="str">
        <f aca="false">IFERROR(INDEX(Customer_Master!$D$5:$D$64,MATCH(B355,Customer_Master!$A$5:$A$64,0)),"UNMATCHED")</f>
        <v>Lagos</v>
      </c>
      <c r="Q355" s="4" t="str">
        <f aca="false">IF(N355="UNMATCHED","Unmatched","Matched")</f>
        <v>Matched</v>
      </c>
      <c r="R355" s="4" t="str">
        <f aca="false">IF(OR(E355="No",G355="No",I355="No",L355="YES",Q355="Unmatched"),"NEEDS REVIEW","OK")</f>
        <v>OK</v>
      </c>
    </row>
    <row r="356" customFormat="false" ht="15" hidden="false" customHeight="false" outlineLevel="0" collapsed="false">
      <c r="A356" s="4" t="str">
        <f aca="false">Orders_Raw!A356</f>
        <v>ORD00114</v>
      </c>
      <c r="B356" s="4" t="str">
        <f aca="false">TRIM(UPPER(Orders_Raw!B356))</f>
        <v>CUST0056</v>
      </c>
      <c r="C356" s="4" t="str">
        <f aca="false">PROPER(TRIM(Orders_Raw!C356))</f>
        <v>Tunde Yakubu</v>
      </c>
      <c r="D356" s="6" t="n">
        <f aca="false">IFERROR(DATEVALUE(Orders_Raw!D356),"")</f>
        <v>46118</v>
      </c>
      <c r="E356" s="4" t="str">
        <f aca="false">IF(D356="","No","Yes")</f>
        <v>Yes</v>
      </c>
      <c r="F356" s="4" t="n">
        <f aca="false">IFERROR(VALUE(SUBSTITUTE(SUBSTITUTE(SUBSTITUTE(Orders_Raw!G356,"$",""),"NGN",""),",","")),"")</f>
        <v>2336.72</v>
      </c>
      <c r="G356" s="4" t="str">
        <f aca="false">IF(F356="","No","Yes")</f>
        <v>Yes</v>
      </c>
      <c r="H356" s="4" t="str">
        <f aca="false">Orders_Raw!F356</f>
        <v>5</v>
      </c>
      <c r="I356" s="4" t="str">
        <f aca="false">IF(H356="","No",IF(H356&lt;=0,"No","Yes"))</f>
        <v>Yes</v>
      </c>
      <c r="J356" s="4" t="str">
        <f aca="false">Orders_Raw!E356</f>
        <v>Headphones</v>
      </c>
      <c r="K356" s="4" t="str">
        <f aca="false">Orders_Raw!H356</f>
        <v>2026-04-06 12:28</v>
      </c>
      <c r="L356" s="4" t="str">
        <f aca="false">IF(COUNTIF(Orders_Raw!$A$5:$A$539,A356)&gt;1,"YES","No")</f>
        <v>No</v>
      </c>
      <c r="M356" s="4" t="str">
        <f aca="false">IF(COUNTIFS($B$5:$B$539,B356,$D$5:$D$539,D356,$F$5:$F$539,F356)&gt;1,"YES","No")</f>
        <v>No</v>
      </c>
      <c r="N356" s="4" t="str">
        <f aca="false">IFERROR(INDEX(Customer_Master!$B$5:$B$64,MATCH(B356,Customer_Master!$A$5:$A$64,0)),"UNMATCHED")</f>
        <v>Tunde Yakubu</v>
      </c>
      <c r="O356" s="4" t="str">
        <f aca="false">IFERROR(INDEX(Customer_Master!$C$5:$C$64,MATCH(B356,Customer_Master!$A$5:$A$64,0)),"UNMATCHED")</f>
        <v>Lost / Low-Value</v>
      </c>
      <c r="P356" s="4" t="str">
        <f aca="false">IFERROR(INDEX(Customer_Master!$D$5:$D$64,MATCH(B356,Customer_Master!$A$5:$A$64,0)),"UNMATCHED")</f>
        <v>Kano</v>
      </c>
      <c r="Q356" s="4" t="str">
        <f aca="false">IF(N356="UNMATCHED","Unmatched","Matched")</f>
        <v>Matched</v>
      </c>
      <c r="R356" s="4" t="str">
        <f aca="false">IF(OR(E356="No",G356="No",I356="No",L356="YES",Q356="Unmatched"),"NEEDS REVIEW","OK")</f>
        <v>OK</v>
      </c>
    </row>
    <row r="357" customFormat="false" ht="15" hidden="false" customHeight="false" outlineLevel="0" collapsed="false">
      <c r="A357" s="4" t="str">
        <f aca="false">Orders_Raw!A357</f>
        <v>ORD00432</v>
      </c>
      <c r="B357" s="4" t="str">
        <f aca="false">TRIM(UPPER(Orders_Raw!B357))</f>
        <v>CUST0039</v>
      </c>
      <c r="C357" s="4" t="str">
        <f aca="false">PROPER(TRIM(Orders_Raw!C357))</f>
        <v>Samuel Lawal</v>
      </c>
      <c r="D357" s="6" t="str">
        <f aca="false">IFERROR(DATEVALUE(Orders_Raw!D357),"")</f>
        <v/>
      </c>
      <c r="E357" s="4" t="str">
        <f aca="false">IF(D357="","No","Yes")</f>
        <v>No</v>
      </c>
      <c r="F357" s="4" t="n">
        <f aca="false">IFERROR(VALUE(SUBSTITUTE(SUBSTITUTE(SUBSTITUTE(Orders_Raw!G357,"$",""),"NGN",""),",","")),"")</f>
        <v>735.11</v>
      </c>
      <c r="G357" s="4" t="str">
        <f aca="false">IF(F357="","No","Yes")</f>
        <v>Yes</v>
      </c>
      <c r="H357" s="4" t="str">
        <f aca="false">Orders_Raw!F357</f>
        <v>1</v>
      </c>
      <c r="I357" s="4" t="str">
        <f aca="false">IF(H357="","No",IF(H357&lt;=0,"No","Yes"))</f>
        <v>Yes</v>
      </c>
      <c r="J357" s="4" t="str">
        <f aca="false">Orders_Raw!E357</f>
        <v>Speaker</v>
      </c>
      <c r="K357" s="4" t="str">
        <f aca="false">Orders_Raw!H357</f>
        <v>2026-02-26 08:35</v>
      </c>
      <c r="L357" s="4" t="str">
        <f aca="false">IF(COUNTIF(Orders_Raw!$A$5:$A$539,A357)&gt;1,"YES","No")</f>
        <v>No</v>
      </c>
      <c r="M357" s="4" t="str">
        <f aca="false">IF(COUNTIFS($B$5:$B$539,B357,$D$5:$D$539,D357,$F$5:$F$539,F357)&gt;1,"YES","No")</f>
        <v>No</v>
      </c>
      <c r="N357" s="4" t="str">
        <f aca="false">IFERROR(INDEX(Customer_Master!$B$5:$B$64,MATCH(B357,Customer_Master!$A$5:$A$64,0)),"UNMATCHED")</f>
        <v>Samuel Lawal</v>
      </c>
      <c r="O357" s="4" t="str">
        <f aca="false">IFERROR(INDEX(Customer_Master!$C$5:$C$64,MATCH(B357,Customer_Master!$A$5:$A$64,0)),"UNMATCHED")</f>
        <v>At Risk</v>
      </c>
      <c r="P357" s="4" t="str">
        <f aca="false">IFERROR(INDEX(Customer_Master!$D$5:$D$64,MATCH(B357,Customer_Master!$A$5:$A$64,0)),"UNMATCHED")</f>
        <v>Kano</v>
      </c>
      <c r="Q357" s="4" t="str">
        <f aca="false">IF(N357="UNMATCHED","Unmatched","Matched")</f>
        <v>Matched</v>
      </c>
      <c r="R357" s="4" t="str">
        <f aca="false">IF(OR(E357="No",G357="No",I357="No",L357="YES",Q357="Unmatched"),"NEEDS REVIEW","OK")</f>
        <v>NEEDS REVIEW</v>
      </c>
    </row>
    <row r="358" customFormat="false" ht="15" hidden="false" customHeight="false" outlineLevel="0" collapsed="false">
      <c r="A358" s="4" t="str">
        <f aca="false">Orders_Raw!A358</f>
        <v>ORD00456</v>
      </c>
      <c r="B358" s="4" t="str">
        <f aca="false">TRIM(UPPER(Orders_Raw!B358))</f>
        <v>CUST0017</v>
      </c>
      <c r="C358" s="4" t="str">
        <f aca="false">PROPER(TRIM(Orders_Raw!C358))</f>
        <v>Ibrahim Ajayi</v>
      </c>
      <c r="D358" s="6" t="n">
        <f aca="false">IFERROR(DATEVALUE(Orders_Raw!D358),"")</f>
        <v>46088</v>
      </c>
      <c r="E358" s="4" t="str">
        <f aca="false">IF(D358="","No","Yes")</f>
        <v>Yes</v>
      </c>
      <c r="F358" s="4" t="n">
        <f aca="false">IFERROR(VALUE(SUBSTITUTE(SUBSTITUTE(SUBSTITUTE(Orders_Raw!G358,"$",""),"NGN",""),",","")),"")</f>
        <v>241.61</v>
      </c>
      <c r="G358" s="4" t="str">
        <f aca="false">IF(F358="","No","Yes")</f>
        <v>Yes</v>
      </c>
      <c r="H358" s="4" t="str">
        <f aca="false">Orders_Raw!F358</f>
        <v>4</v>
      </c>
      <c r="I358" s="4" t="str">
        <f aca="false">IF(H358="","No",IF(H358&lt;=0,"No","Yes"))</f>
        <v>Yes</v>
      </c>
      <c r="J358" s="4" t="str">
        <f aca="false">Orders_Raw!E358</f>
        <v>Monitor</v>
      </c>
      <c r="K358" s="4" t="str">
        <f aca="false">Orders_Raw!H358</f>
        <v>2026-07-03 16:39</v>
      </c>
      <c r="L358" s="4" t="str">
        <f aca="false">IF(COUNTIF(Orders_Raw!$A$5:$A$539,A358)&gt;1,"YES","No")</f>
        <v>No</v>
      </c>
      <c r="M358" s="4" t="str">
        <f aca="false">IF(COUNTIFS($B$5:$B$539,B358,$D$5:$D$539,D358,$F$5:$F$539,F358)&gt;1,"YES","No")</f>
        <v>No</v>
      </c>
      <c r="N358" s="4" t="str">
        <f aca="false">IFERROR(INDEX(Customer_Master!$B$5:$B$64,MATCH(B358,Customer_Master!$A$5:$A$64,0)),"UNMATCHED")</f>
        <v>Ibrahim Ajayi</v>
      </c>
      <c r="O358" s="4" t="str">
        <f aca="false">IFERROR(INDEX(Customer_Master!$C$5:$C$64,MATCH(B358,Customer_Master!$A$5:$A$64,0)),"UNMATCHED")</f>
        <v>Champions</v>
      </c>
      <c r="P358" s="4" t="str">
        <f aca="false">IFERROR(INDEX(Customer_Master!$D$5:$D$64,MATCH(B358,Customer_Master!$A$5:$A$64,0)),"UNMATCHED")</f>
        <v>Enugu</v>
      </c>
      <c r="Q358" s="4" t="str">
        <f aca="false">IF(N358="UNMATCHED","Unmatched","Matched")</f>
        <v>Matched</v>
      </c>
      <c r="R358" s="4" t="str">
        <f aca="false">IF(OR(E358="No",G358="No",I358="No",L358="YES",Q358="Unmatched"),"NEEDS REVIEW","OK")</f>
        <v>OK</v>
      </c>
    </row>
    <row r="359" customFormat="false" ht="15" hidden="false" customHeight="false" outlineLevel="0" collapsed="false">
      <c r="A359" s="4" t="str">
        <f aca="false">Orders_Raw!A359</f>
        <v>ORD00168</v>
      </c>
      <c r="B359" s="4" t="str">
        <f aca="false">TRIM(UPPER(Orders_Raw!B359))</f>
        <v>CUST0037</v>
      </c>
      <c r="C359" s="4" t="str">
        <f aca="false">PROPER(TRIM(Orders_Raw!C359))</f>
        <v>Blessing Obi</v>
      </c>
      <c r="D359" s="6" t="n">
        <f aca="false">IFERROR(DATEVALUE(Orders_Raw!D359),"")</f>
        <v>46106</v>
      </c>
      <c r="E359" s="4" t="str">
        <f aca="false">IF(D359="","No","Yes")</f>
        <v>Yes</v>
      </c>
      <c r="F359" s="4" t="n">
        <f aca="false">IFERROR(VALUE(SUBSTITUTE(SUBSTITUTE(SUBSTITUTE(Orders_Raw!G359,"$",""),"NGN",""),",","")),"")</f>
        <v>1112.97</v>
      </c>
      <c r="G359" s="4" t="str">
        <f aca="false">IF(F359="","No","Yes")</f>
        <v>Yes</v>
      </c>
      <c r="H359" s="4" t="str">
        <f aca="false">Orders_Raw!F359</f>
        <v>4</v>
      </c>
      <c r="I359" s="4" t="str">
        <f aca="false">IF(H359="","No",IF(H359&lt;=0,"No","Yes"))</f>
        <v>Yes</v>
      </c>
      <c r="J359" s="4" t="str">
        <f aca="false">Orders_Raw!E359</f>
        <v>Tablet</v>
      </c>
      <c r="K359" s="4" t="str">
        <f aca="false">Orders_Raw!H359</f>
        <v>2026-03-25 15:51</v>
      </c>
      <c r="L359" s="4" t="str">
        <f aca="false">IF(COUNTIF(Orders_Raw!$A$5:$A$539,A359)&gt;1,"YES","No")</f>
        <v>No</v>
      </c>
      <c r="M359" s="4" t="str">
        <f aca="false">IF(COUNTIFS($B$5:$B$539,B359,$D$5:$D$539,D359,$F$5:$F$539,F359)&gt;1,"YES","No")</f>
        <v>No</v>
      </c>
      <c r="N359" s="4" t="str">
        <f aca="false">IFERROR(INDEX(Customer_Master!$B$5:$B$64,MATCH(B359,Customer_Master!$A$5:$A$64,0)),"UNMATCHED")</f>
        <v>Blessing Obi</v>
      </c>
      <c r="O359" s="4" t="str">
        <f aca="false">IFERROR(INDEX(Customer_Master!$C$5:$C$64,MATCH(B359,Customer_Master!$A$5:$A$64,0)),"UNMATCHED")</f>
        <v>Lost / Low-Value</v>
      </c>
      <c r="P359" s="4" t="str">
        <f aca="false">IFERROR(INDEX(Customer_Master!$D$5:$D$64,MATCH(B359,Customer_Master!$A$5:$A$64,0)),"UNMATCHED")</f>
        <v>Lagos</v>
      </c>
      <c r="Q359" s="4" t="str">
        <f aca="false">IF(N359="UNMATCHED","Unmatched","Matched")</f>
        <v>Matched</v>
      </c>
      <c r="R359" s="4" t="str">
        <f aca="false">IF(OR(E359="No",G359="No",I359="No",L359="YES",Q359="Unmatched"),"NEEDS REVIEW","OK")</f>
        <v>OK</v>
      </c>
    </row>
    <row r="360" customFormat="false" ht="15" hidden="false" customHeight="false" outlineLevel="0" collapsed="false">
      <c r="A360" s="4" t="str">
        <f aca="false">Orders_Raw!A360</f>
        <v>ORD00357</v>
      </c>
      <c r="B360" s="4" t="str">
        <f aca="false">TRIM(UPPER(Orders_Raw!B360))</f>
        <v>CUST0037</v>
      </c>
      <c r="C360" s="4" t="str">
        <f aca="false">PROPER(TRIM(Orders_Raw!C360))</f>
        <v>Blessing Obi</v>
      </c>
      <c r="D360" s="6" t="n">
        <f aca="false">IFERROR(DATEVALUE(Orders_Raw!D360),"")</f>
        <v>46241</v>
      </c>
      <c r="E360" s="4" t="str">
        <f aca="false">IF(D360="","No","Yes")</f>
        <v>Yes</v>
      </c>
      <c r="F360" s="4" t="n">
        <f aca="false">IFERROR(VALUE(SUBSTITUTE(SUBSTITUTE(SUBSTITUTE(Orders_Raw!G360,"$",""),"NGN",""),",","")),"")</f>
        <v>2348.85</v>
      </c>
      <c r="G360" s="4" t="str">
        <f aca="false">IF(F360="","No","Yes")</f>
        <v>Yes</v>
      </c>
      <c r="H360" s="4" t="str">
        <f aca="false">Orders_Raw!F360</f>
        <v>1</v>
      </c>
      <c r="I360" s="4" t="str">
        <f aca="false">IF(H360="","No",IF(H360&lt;=0,"No","Yes"))</f>
        <v>Yes</v>
      </c>
      <c r="J360" s="4" t="str">
        <f aca="false">Orders_Raw!E360</f>
        <v>Mouse</v>
      </c>
      <c r="K360" s="4" t="str">
        <f aca="false">Orders_Raw!H360</f>
        <v>2026-07-08 13:14</v>
      </c>
      <c r="L360" s="4" t="str">
        <f aca="false">IF(COUNTIF(Orders_Raw!$A$5:$A$539,A360)&gt;1,"YES","No")</f>
        <v>No</v>
      </c>
      <c r="M360" s="4" t="str">
        <f aca="false">IF(COUNTIFS($B$5:$B$539,B360,$D$5:$D$539,D360,$F$5:$F$539,F360)&gt;1,"YES","No")</f>
        <v>No</v>
      </c>
      <c r="N360" s="4" t="str">
        <f aca="false">IFERROR(INDEX(Customer_Master!$B$5:$B$64,MATCH(B360,Customer_Master!$A$5:$A$64,0)),"UNMATCHED")</f>
        <v>Blessing Obi</v>
      </c>
      <c r="O360" s="4" t="str">
        <f aca="false">IFERROR(INDEX(Customer_Master!$C$5:$C$64,MATCH(B360,Customer_Master!$A$5:$A$64,0)),"UNMATCHED")</f>
        <v>Lost / Low-Value</v>
      </c>
      <c r="P360" s="4" t="str">
        <f aca="false">IFERROR(INDEX(Customer_Master!$D$5:$D$64,MATCH(B360,Customer_Master!$A$5:$A$64,0)),"UNMATCHED")</f>
        <v>Lagos</v>
      </c>
      <c r="Q360" s="4" t="str">
        <f aca="false">IF(N360="UNMATCHED","Unmatched","Matched")</f>
        <v>Matched</v>
      </c>
      <c r="R360" s="4" t="str">
        <f aca="false">IF(OR(E360="No",G360="No",I360="No",L360="YES",Q360="Unmatched"),"NEEDS REVIEW","OK")</f>
        <v>OK</v>
      </c>
    </row>
    <row r="361" customFormat="false" ht="15" hidden="false" customHeight="false" outlineLevel="0" collapsed="false">
      <c r="A361" s="4" t="str">
        <f aca="false">Orders_Raw!A361</f>
        <v>ORD00127</v>
      </c>
      <c r="B361" s="4" t="str">
        <f aca="false">TRIM(UPPER(Orders_Raw!B361))</f>
        <v>CUST0028</v>
      </c>
      <c r="C361" s="4" t="str">
        <f aca="false">PROPER(TRIM(Orders_Raw!C361))</f>
        <v>James Adamu</v>
      </c>
      <c r="D361" s="6" t="str">
        <f aca="false">IFERROR(DATEVALUE(Orders_Raw!D361),"")</f>
        <v/>
      </c>
      <c r="E361" s="4" t="str">
        <f aca="false">IF(D361="","No","Yes")</f>
        <v>No</v>
      </c>
      <c r="F361" s="4" t="n">
        <f aca="false">IFERROR(VALUE(SUBSTITUTE(SUBSTITUTE(SUBSTITUTE(Orders_Raw!G361,"$",""),"NGN",""),",","")),"")</f>
        <v>917.83</v>
      </c>
      <c r="G361" s="4" t="str">
        <f aca="false">IF(F361="","No","Yes")</f>
        <v>Yes</v>
      </c>
      <c r="H361" s="4" t="str">
        <f aca="false">Orders_Raw!F361</f>
        <v>1</v>
      </c>
      <c r="I361" s="4" t="str">
        <f aca="false">IF(H361="","No",IF(H361&lt;=0,"No","Yes"))</f>
        <v>Yes</v>
      </c>
      <c r="J361" s="4" t="str">
        <f aca="false">Orders_Raw!E361</f>
        <v>Printer</v>
      </c>
      <c r="K361" s="4" t="str">
        <f aca="false">Orders_Raw!H361</f>
        <v>2026-01-20 08:08</v>
      </c>
      <c r="L361" s="4" t="str">
        <f aca="false">IF(COUNTIF(Orders_Raw!$A$5:$A$539,A361)&gt;1,"YES","No")</f>
        <v>No</v>
      </c>
      <c r="M361" s="4" t="str">
        <f aca="false">IF(COUNTIFS($B$5:$B$539,B361,$D$5:$D$539,D361,$F$5:$F$539,F361)&gt;1,"YES","No")</f>
        <v>No</v>
      </c>
      <c r="N361" s="4" t="str">
        <f aca="false">IFERROR(INDEX(Customer_Master!$B$5:$B$64,MATCH(B361,Customer_Master!$A$5:$A$64,0)),"UNMATCHED")</f>
        <v>James Adamu</v>
      </c>
      <c r="O361" s="4" t="str">
        <f aca="false">IFERROR(INDEX(Customer_Master!$C$5:$C$64,MATCH(B361,Customer_Master!$A$5:$A$64,0)),"UNMATCHED")</f>
        <v>New</v>
      </c>
      <c r="P361" s="4" t="str">
        <f aca="false">IFERROR(INDEX(Customer_Master!$D$5:$D$64,MATCH(B361,Customer_Master!$A$5:$A$64,0)),"UNMATCHED")</f>
        <v>Ibadan</v>
      </c>
      <c r="Q361" s="4" t="str">
        <f aca="false">IF(N361="UNMATCHED","Unmatched","Matched")</f>
        <v>Matched</v>
      </c>
      <c r="R361" s="4" t="str">
        <f aca="false">IF(OR(E361="No",G361="No",I361="No",L361="YES",Q361="Unmatched"),"NEEDS REVIEW","OK")</f>
        <v>NEEDS REVIEW</v>
      </c>
    </row>
    <row r="362" customFormat="false" ht="15" hidden="false" customHeight="false" outlineLevel="0" collapsed="false">
      <c r="A362" s="4" t="str">
        <f aca="false">Orders_Raw!A362</f>
        <v>ORD00220</v>
      </c>
      <c r="B362" s="4" t="str">
        <f aca="false">TRIM(UPPER(Orders_Raw!B362))</f>
        <v>CUST0024</v>
      </c>
      <c r="C362" s="4" t="str">
        <f aca="false">PROPER(TRIM(Orders_Raw!C362))</f>
        <v>Aisha Adeyemi</v>
      </c>
      <c r="D362" s="6" t="str">
        <f aca="false">IFERROR(DATEVALUE(Orders_Raw!D362),"")</f>
        <v/>
      </c>
      <c r="E362" s="4" t="str">
        <f aca="false">IF(D362="","No","Yes")</f>
        <v>No</v>
      </c>
      <c r="F362" s="4" t="n">
        <f aca="false">IFERROR(VALUE(SUBSTITUTE(SUBSTITUTE(SUBSTITUTE(Orders_Raw!G362,"$",""),"NGN",""),",","")),"")</f>
        <v>1372.69</v>
      </c>
      <c r="G362" s="4" t="str">
        <f aca="false">IF(F362="","No","Yes")</f>
        <v>Yes</v>
      </c>
      <c r="H362" s="4" t="str">
        <f aca="false">Orders_Raw!F362</f>
        <v>1</v>
      </c>
      <c r="I362" s="4" t="str">
        <f aca="false">IF(H362="","No",IF(H362&lt;=0,"No","Yes"))</f>
        <v>Yes</v>
      </c>
      <c r="J362" s="4" t="str">
        <f aca="false">Orders_Raw!E362</f>
        <v>Charger</v>
      </c>
      <c r="K362" s="4" t="str">
        <f aca="false">Orders_Raw!H362</f>
        <v>2026-07-14 12:55</v>
      </c>
      <c r="L362" s="4" t="str">
        <f aca="false">IF(COUNTIF(Orders_Raw!$A$5:$A$539,A362)&gt;1,"YES","No")</f>
        <v>No</v>
      </c>
      <c r="M362" s="4" t="str">
        <f aca="false">IF(COUNTIFS($B$5:$B$539,B362,$D$5:$D$539,D362,$F$5:$F$539,F362)&gt;1,"YES","No")</f>
        <v>No</v>
      </c>
      <c r="N362" s="4" t="str">
        <f aca="false">IFERROR(INDEX(Customer_Master!$B$5:$B$64,MATCH(B362,Customer_Master!$A$5:$A$64,0)),"UNMATCHED")</f>
        <v>Aisha Adeyemi</v>
      </c>
      <c r="O362" s="4" t="str">
        <f aca="false">IFERROR(INDEX(Customer_Master!$C$5:$C$64,MATCH(B362,Customer_Master!$A$5:$A$64,0)),"UNMATCHED")</f>
        <v>At Risk</v>
      </c>
      <c r="P362" s="4" t="str">
        <f aca="false">IFERROR(INDEX(Customer_Master!$D$5:$D$64,MATCH(B362,Customer_Master!$A$5:$A$64,0)),"UNMATCHED")</f>
        <v>Enugu</v>
      </c>
      <c r="Q362" s="4" t="str">
        <f aca="false">IF(N362="UNMATCHED","Unmatched","Matched")</f>
        <v>Matched</v>
      </c>
      <c r="R362" s="4" t="str">
        <f aca="false">IF(OR(E362="No",G362="No",I362="No",L362="YES",Q362="Unmatched"),"NEEDS REVIEW","OK")</f>
        <v>NEEDS REVIEW</v>
      </c>
    </row>
    <row r="363" customFormat="false" ht="15" hidden="false" customHeight="false" outlineLevel="0" collapsed="false">
      <c r="A363" s="4" t="str">
        <f aca="false">Orders_Raw!A363</f>
        <v>ORD00178</v>
      </c>
      <c r="B363" s="4" t="str">
        <f aca="false">TRIM(UPPER(Orders_Raw!B363))</f>
        <v>CUST0045</v>
      </c>
      <c r="C363" s="4" t="str">
        <f aca="false">PROPER(TRIM(Orders_Raw!C363))</f>
        <v>Yusuf Yakubu</v>
      </c>
      <c r="D363" s="6" t="str">
        <f aca="false">IFERROR(DATEVALUE(Orders_Raw!D363),"")</f>
        <v/>
      </c>
      <c r="E363" s="4" t="str">
        <f aca="false">IF(D363="","No","Yes")</f>
        <v>No</v>
      </c>
      <c r="F363" s="4" t="n">
        <f aca="false">IFERROR(VALUE(SUBSTITUTE(SUBSTITUTE(SUBSTITUTE(Orders_Raw!G363,"$",""),"NGN",""),",","")),"")</f>
        <v>471.94</v>
      </c>
      <c r="G363" s="4" t="str">
        <f aca="false">IF(F363="","No","Yes")</f>
        <v>Yes</v>
      </c>
      <c r="H363" s="4" t="str">
        <f aca="false">Orders_Raw!F363</f>
        <v>2</v>
      </c>
      <c r="I363" s="4" t="str">
        <f aca="false">IF(H363="","No",IF(H363&lt;=0,"No","Yes"))</f>
        <v>Yes</v>
      </c>
      <c r="J363" s="4" t="str">
        <f aca="false">Orders_Raw!E363</f>
        <v>Headphones</v>
      </c>
      <c r="K363" s="4" t="str">
        <f aca="false">Orders_Raw!H363</f>
        <v>2026-03-18 15:58</v>
      </c>
      <c r="L363" s="4" t="str">
        <f aca="false">IF(COUNTIF(Orders_Raw!$A$5:$A$539,A363)&gt;1,"YES","No")</f>
        <v>YES</v>
      </c>
      <c r="M363" s="4" t="str">
        <f aca="false">IF(COUNTIFS($B$5:$B$539,B363,$D$5:$D$539,D363,$F$5:$F$539,F363)&gt;1,"YES","No")</f>
        <v>YES</v>
      </c>
      <c r="N363" s="4" t="str">
        <f aca="false">IFERROR(INDEX(Customer_Master!$B$5:$B$64,MATCH(B363,Customer_Master!$A$5:$A$64,0)),"UNMATCHED")</f>
        <v>Yusuf Yakubu</v>
      </c>
      <c r="O363" s="4" t="str">
        <f aca="false">IFERROR(INDEX(Customer_Master!$C$5:$C$64,MATCH(B363,Customer_Master!$A$5:$A$64,0)),"UNMATCHED")</f>
        <v>New</v>
      </c>
      <c r="P363" s="4" t="str">
        <f aca="false">IFERROR(INDEX(Customer_Master!$D$5:$D$64,MATCH(B363,Customer_Master!$A$5:$A$64,0)),"UNMATCHED")</f>
        <v>Port Harcourt</v>
      </c>
      <c r="Q363" s="4" t="str">
        <f aca="false">IF(N363="UNMATCHED","Unmatched","Matched")</f>
        <v>Matched</v>
      </c>
      <c r="R363" s="4" t="str">
        <f aca="false">IF(OR(E363="No",G363="No",I363="No",L363="YES",Q363="Unmatched"),"NEEDS REVIEW","OK")</f>
        <v>NEEDS REVIEW</v>
      </c>
    </row>
    <row r="364" customFormat="false" ht="15" hidden="false" customHeight="false" outlineLevel="0" collapsed="false">
      <c r="A364" s="4" t="str">
        <f aca="false">Orders_Raw!A364</f>
        <v>ORD00143</v>
      </c>
      <c r="B364" s="4" t="str">
        <f aca="false">TRIM(UPPER(Orders_Raw!B364))</f>
        <v>CUST0020</v>
      </c>
      <c r="C364" s="4" t="str">
        <f aca="false">PROPER(TRIM(Orders_Raw!C364))</f>
        <v>Mary Okafor</v>
      </c>
      <c r="D364" s="6" t="n">
        <f aca="false">IFERROR(DATEVALUE(Orders_Raw!D364),"")</f>
        <v>46123</v>
      </c>
      <c r="E364" s="4" t="str">
        <f aca="false">IF(D364="","No","Yes")</f>
        <v>Yes</v>
      </c>
      <c r="F364" s="4" t="n">
        <f aca="false">IFERROR(VALUE(SUBSTITUTE(SUBSTITUTE(SUBSTITUTE(Orders_Raw!G364,"$",""),"NGN",""),",","")),"")</f>
        <v>1151.22</v>
      </c>
      <c r="G364" s="4" t="str">
        <f aca="false">IF(F364="","No","Yes")</f>
        <v>Yes</v>
      </c>
      <c r="H364" s="4" t="str">
        <f aca="false">Orders_Raw!F364</f>
        <v>1</v>
      </c>
      <c r="I364" s="4" t="str">
        <f aca="false">IF(H364="","No",IF(H364&lt;=0,"No","Yes"))</f>
        <v>Yes</v>
      </c>
      <c r="J364" s="4" t="str">
        <f aca="false">Orders_Raw!E364</f>
        <v>Mouse</v>
      </c>
      <c r="K364" s="4" t="str">
        <f aca="false">Orders_Raw!H364</f>
        <v>2026-04-11 15:38</v>
      </c>
      <c r="L364" s="4" t="str">
        <f aca="false">IF(COUNTIF(Orders_Raw!$A$5:$A$539,A364)&gt;1,"YES","No")</f>
        <v>No</v>
      </c>
      <c r="M364" s="4" t="str">
        <f aca="false">IF(COUNTIFS($B$5:$B$539,B364,$D$5:$D$539,D364,$F$5:$F$539,F364)&gt;1,"YES","No")</f>
        <v>No</v>
      </c>
      <c r="N364" s="4" t="str">
        <f aca="false">IFERROR(INDEX(Customer_Master!$B$5:$B$64,MATCH(B364,Customer_Master!$A$5:$A$64,0)),"UNMATCHED")</f>
        <v>Mary Okafor</v>
      </c>
      <c r="O364" s="4" t="str">
        <f aca="false">IFERROR(INDEX(Customer_Master!$C$5:$C$64,MATCH(B364,Customer_Master!$A$5:$A$64,0)),"UNMATCHED")</f>
        <v>New</v>
      </c>
      <c r="P364" s="4" t="str">
        <f aca="false">IFERROR(INDEX(Customer_Master!$D$5:$D$64,MATCH(B364,Customer_Master!$A$5:$A$64,0)),"UNMATCHED")</f>
        <v>Port Harcourt</v>
      </c>
      <c r="Q364" s="4" t="str">
        <f aca="false">IF(N364="UNMATCHED","Unmatched","Matched")</f>
        <v>Matched</v>
      </c>
      <c r="R364" s="4" t="str">
        <f aca="false">IF(OR(E364="No",G364="No",I364="No",L364="YES",Q364="Unmatched"),"NEEDS REVIEW","OK")</f>
        <v>OK</v>
      </c>
    </row>
    <row r="365" customFormat="false" ht="15" hidden="false" customHeight="false" outlineLevel="0" collapsed="false">
      <c r="A365" s="4" t="str">
        <f aca="false">Orders_Raw!A365</f>
        <v>ORD00237</v>
      </c>
      <c r="B365" s="4" t="str">
        <f aca="false">TRIM(UPPER(Orders_Raw!B365))</f>
        <v>CUST0035</v>
      </c>
      <c r="C365" s="4" t="str">
        <f aca="false">PROPER(TRIM(Orders_Raw!C365))</f>
        <v>Chidi Lawal</v>
      </c>
      <c r="D365" s="6" t="str">
        <f aca="false">IFERROR(DATEVALUE(Orders_Raw!D365),"")</f>
        <v/>
      </c>
      <c r="E365" s="4" t="str">
        <f aca="false">IF(D365="","No","Yes")</f>
        <v>No</v>
      </c>
      <c r="F365" s="4" t="n">
        <f aca="false">IFERROR(VALUE(SUBSTITUTE(SUBSTITUTE(SUBSTITUTE(Orders_Raw!G365,"$",""),"NGN",""),",","")),"")</f>
        <v>56.47</v>
      </c>
      <c r="G365" s="4" t="str">
        <f aca="false">IF(F365="","No","Yes")</f>
        <v>Yes</v>
      </c>
      <c r="H365" s="4" t="str">
        <f aca="false">Orders_Raw!F365</f>
        <v>1</v>
      </c>
      <c r="I365" s="4" t="str">
        <f aca="false">IF(H365="","No",IF(H365&lt;=0,"No","Yes"))</f>
        <v>Yes</v>
      </c>
      <c r="J365" s="4" t="str">
        <f aca="false">Orders_Raw!E365</f>
        <v>Laptop</v>
      </c>
      <c r="K365" s="4" t="str">
        <f aca="false">Orders_Raw!H365</f>
        <v>2026-07-17 14:32</v>
      </c>
      <c r="L365" s="4" t="str">
        <f aca="false">IF(COUNTIF(Orders_Raw!$A$5:$A$539,A365)&gt;1,"YES","No")</f>
        <v>No</v>
      </c>
      <c r="M365" s="4" t="str">
        <f aca="false">IF(COUNTIFS($B$5:$B$539,B365,$D$5:$D$539,D365,$F$5:$F$539,F365)&gt;1,"YES","No")</f>
        <v>No</v>
      </c>
      <c r="N365" s="4" t="str">
        <f aca="false">IFERROR(INDEX(Customer_Master!$B$5:$B$64,MATCH(B365,Customer_Master!$A$5:$A$64,0)),"UNMATCHED")</f>
        <v>Chidi Lawal</v>
      </c>
      <c r="O365" s="4" t="str">
        <f aca="false">IFERROR(INDEX(Customer_Master!$C$5:$C$64,MATCH(B365,Customer_Master!$A$5:$A$64,0)),"UNMATCHED")</f>
        <v>New</v>
      </c>
      <c r="P365" s="4" t="str">
        <f aca="false">IFERROR(INDEX(Customer_Master!$D$5:$D$64,MATCH(B365,Customer_Master!$A$5:$A$64,0)),"UNMATCHED")</f>
        <v>Ibadan</v>
      </c>
      <c r="Q365" s="4" t="str">
        <f aca="false">IF(N365="UNMATCHED","Unmatched","Matched")</f>
        <v>Matched</v>
      </c>
      <c r="R365" s="4" t="str">
        <f aca="false">IF(OR(E365="No",G365="No",I365="No",L365="YES",Q365="Unmatched"),"NEEDS REVIEW","OK")</f>
        <v>NEEDS REVIEW</v>
      </c>
    </row>
    <row r="366" customFormat="false" ht="15" hidden="false" customHeight="false" outlineLevel="0" collapsed="false">
      <c r="A366" s="4" t="str">
        <f aca="false">Orders_Raw!A366</f>
        <v>ORD00468</v>
      </c>
      <c r="B366" s="4" t="str">
        <f aca="false">TRIM(UPPER(Orders_Raw!B366))</f>
        <v>CUST0020</v>
      </c>
      <c r="C366" s="4" t="str">
        <f aca="false">PROPER(TRIM(Orders_Raw!C366))</f>
        <v>Mary Okafor</v>
      </c>
      <c r="D366" s="6" t="str">
        <f aca="false">IFERROR(DATEVALUE(Orders_Raw!D366),"")</f>
        <v/>
      </c>
      <c r="E366" s="4" t="str">
        <f aca="false">IF(D366="","No","Yes")</f>
        <v>No</v>
      </c>
      <c r="F366" s="4" t="n">
        <f aca="false">IFERROR(VALUE(SUBSTITUTE(SUBSTITUTE(SUBSTITUTE(Orders_Raw!G366,"$",""),"NGN",""),",","")),"")</f>
        <v>297.88</v>
      </c>
      <c r="G366" s="4" t="str">
        <f aca="false">IF(F366="","No","Yes")</f>
        <v>Yes</v>
      </c>
      <c r="H366" s="4" t="str">
        <f aca="false">Orders_Raw!F366</f>
        <v>2</v>
      </c>
      <c r="I366" s="4" t="str">
        <f aca="false">IF(H366="","No",IF(H366&lt;=0,"No","Yes"))</f>
        <v>Yes</v>
      </c>
      <c r="J366" s="4" t="str">
        <f aca="false">Orders_Raw!E366</f>
        <v>Laptop</v>
      </c>
      <c r="K366" s="4" t="str">
        <f aca="false">Orders_Raw!H366</f>
        <v>2026-07-16 10:12</v>
      </c>
      <c r="L366" s="4" t="str">
        <f aca="false">IF(COUNTIF(Orders_Raw!$A$5:$A$539,A366)&gt;1,"YES","No")</f>
        <v>No</v>
      </c>
      <c r="M366" s="4" t="str">
        <f aca="false">IF(COUNTIFS($B$5:$B$539,B366,$D$5:$D$539,D366,$F$5:$F$539,F366)&gt;1,"YES","No")</f>
        <v>No</v>
      </c>
      <c r="N366" s="4" t="str">
        <f aca="false">IFERROR(INDEX(Customer_Master!$B$5:$B$64,MATCH(B366,Customer_Master!$A$5:$A$64,0)),"UNMATCHED")</f>
        <v>Mary Okafor</v>
      </c>
      <c r="O366" s="4" t="str">
        <f aca="false">IFERROR(INDEX(Customer_Master!$C$5:$C$64,MATCH(B366,Customer_Master!$A$5:$A$64,0)),"UNMATCHED")</f>
        <v>New</v>
      </c>
      <c r="P366" s="4" t="str">
        <f aca="false">IFERROR(INDEX(Customer_Master!$D$5:$D$64,MATCH(B366,Customer_Master!$A$5:$A$64,0)),"UNMATCHED")</f>
        <v>Port Harcourt</v>
      </c>
      <c r="Q366" s="4" t="str">
        <f aca="false">IF(N366="UNMATCHED","Unmatched","Matched")</f>
        <v>Matched</v>
      </c>
      <c r="R366" s="4" t="str">
        <f aca="false">IF(OR(E366="No",G366="No",I366="No",L366="YES",Q366="Unmatched"),"NEEDS REVIEW","OK")</f>
        <v>NEEDS REVIEW</v>
      </c>
    </row>
    <row r="367" customFormat="false" ht="15" hidden="false" customHeight="false" outlineLevel="0" collapsed="false">
      <c r="A367" s="4" t="str">
        <f aca="false">Orders_Raw!A367</f>
        <v>ORD00303</v>
      </c>
      <c r="B367" s="4" t="str">
        <f aca="false">TRIM(UPPER(Orders_Raw!B367))</f>
        <v>CUST0002</v>
      </c>
      <c r="C367" s="4" t="str">
        <f aca="false">PROPER(TRIM(Orders_Raw!C367))</f>
        <v>Tunde Ajayi</v>
      </c>
      <c r="D367" s="6" t="n">
        <f aca="false">IFERROR(DATEVALUE(Orders_Raw!D367),"")</f>
        <v>46080</v>
      </c>
      <c r="E367" s="4" t="str">
        <f aca="false">IF(D367="","No","Yes")</f>
        <v>Yes</v>
      </c>
      <c r="F367" s="4" t="n">
        <f aca="false">IFERROR(VALUE(SUBSTITUTE(SUBSTITUTE(SUBSTITUTE(Orders_Raw!G367,"$",""),"NGN",""),",","")),"")</f>
        <v>790.55</v>
      </c>
      <c r="G367" s="4" t="str">
        <f aca="false">IF(F367="","No","Yes")</f>
        <v>Yes</v>
      </c>
      <c r="H367" s="4" t="str">
        <f aca="false">Orders_Raw!F367</f>
        <v>2</v>
      </c>
      <c r="I367" s="4" t="str">
        <f aca="false">IF(H367="","No",IF(H367&lt;=0,"No","Yes"))</f>
        <v>Yes</v>
      </c>
      <c r="J367" s="4" t="str">
        <f aca="false">Orders_Raw!E367</f>
        <v>Phone</v>
      </c>
      <c r="K367" s="4" t="str">
        <f aca="false">Orders_Raw!H367</f>
        <v>2026-02-27 08:19</v>
      </c>
      <c r="L367" s="4" t="str">
        <f aca="false">IF(COUNTIF(Orders_Raw!$A$5:$A$539,A367)&gt;1,"YES","No")</f>
        <v>No</v>
      </c>
      <c r="M367" s="4" t="str">
        <f aca="false">IF(COUNTIFS($B$5:$B$539,B367,$D$5:$D$539,D367,$F$5:$F$539,F367)&gt;1,"YES","No")</f>
        <v>No</v>
      </c>
      <c r="N367" s="4" t="str">
        <f aca="false">IFERROR(INDEX(Customer_Master!$B$5:$B$64,MATCH(B367,Customer_Master!$A$5:$A$64,0)),"UNMATCHED")</f>
        <v>Tunde Ajayi</v>
      </c>
      <c r="O367" s="4" t="str">
        <f aca="false">IFERROR(INDEX(Customer_Master!$C$5:$C$64,MATCH(B367,Customer_Master!$A$5:$A$64,0)),"UNMATCHED")</f>
        <v>Loyal</v>
      </c>
      <c r="P367" s="4" t="str">
        <f aca="false">IFERROR(INDEX(Customer_Master!$D$5:$D$64,MATCH(B367,Customer_Master!$A$5:$A$64,0)),"UNMATCHED")</f>
        <v>Abuja</v>
      </c>
      <c r="Q367" s="4" t="str">
        <f aca="false">IF(N367="UNMATCHED","Unmatched","Matched")</f>
        <v>Matched</v>
      </c>
      <c r="R367" s="4" t="str">
        <f aca="false">IF(OR(E367="No",G367="No",I367="No",L367="YES",Q367="Unmatched"),"NEEDS REVIEW","OK")</f>
        <v>OK</v>
      </c>
    </row>
    <row r="368" customFormat="false" ht="15" hidden="false" customHeight="false" outlineLevel="0" collapsed="false">
      <c r="A368" s="4" t="str">
        <f aca="false">Orders_Raw!A368</f>
        <v>ORD00406</v>
      </c>
      <c r="B368" s="4" t="str">
        <f aca="false">TRIM(UPPER(Orders_Raw!B368))</f>
        <v>CUST0018</v>
      </c>
      <c r="C368" s="4" t="str">
        <f aca="false">PROPER(TRIM(Orders_Raw!C368))</f>
        <v>Fatima Okonkwo</v>
      </c>
      <c r="D368" s="6" t="n">
        <f aca="false">IFERROR(DATEVALUE(Orders_Raw!D368),"")</f>
        <v>46071</v>
      </c>
      <c r="E368" s="4" t="str">
        <f aca="false">IF(D368="","No","Yes")</f>
        <v>Yes</v>
      </c>
      <c r="F368" s="4" t="n">
        <f aca="false">IFERROR(VALUE(SUBSTITUTE(SUBSTITUTE(SUBSTITUTE(Orders_Raw!G368,"$",""),"NGN",""),",","")),"")</f>
        <v>63.2</v>
      </c>
      <c r="G368" s="4" t="str">
        <f aca="false">IF(F368="","No","Yes")</f>
        <v>Yes</v>
      </c>
      <c r="H368" s="4" t="n">
        <f aca="false">Orders_Raw!F368</f>
        <v>0</v>
      </c>
      <c r="I368" s="4" t="str">
        <f aca="false">IF(H368="","No",IF(H368&lt;=0,"No","Yes"))</f>
        <v>No</v>
      </c>
      <c r="J368" s="4" t="str">
        <f aca="false">Orders_Raw!E368</f>
        <v>Phone</v>
      </c>
      <c r="K368" s="4" t="str">
        <f aca="false">Orders_Raw!H368</f>
        <v>2026-02-18 12:17</v>
      </c>
      <c r="L368" s="4" t="str">
        <f aca="false">IF(COUNTIF(Orders_Raw!$A$5:$A$539,A368)&gt;1,"YES","No")</f>
        <v>No</v>
      </c>
      <c r="M368" s="4" t="str">
        <f aca="false">IF(COUNTIFS($B$5:$B$539,B368,$D$5:$D$539,D368,$F$5:$F$539,F368)&gt;1,"YES","No")</f>
        <v>No</v>
      </c>
      <c r="N368" s="4" t="str">
        <f aca="false">IFERROR(INDEX(Customer_Master!$B$5:$B$64,MATCH(B368,Customer_Master!$A$5:$A$64,0)),"UNMATCHED")</f>
        <v>Fatima Okonkwo</v>
      </c>
      <c r="O368" s="4" t="str">
        <f aca="false">IFERROR(INDEX(Customer_Master!$C$5:$C$64,MATCH(B368,Customer_Master!$A$5:$A$64,0)),"UNMATCHED")</f>
        <v>At Risk</v>
      </c>
      <c r="P368" s="4" t="str">
        <f aca="false">IFERROR(INDEX(Customer_Master!$D$5:$D$64,MATCH(B368,Customer_Master!$A$5:$A$64,0)),"UNMATCHED")</f>
        <v>Port Harcourt</v>
      </c>
      <c r="Q368" s="4" t="str">
        <f aca="false">IF(N368="UNMATCHED","Unmatched","Matched")</f>
        <v>Matched</v>
      </c>
      <c r="R368" s="4" t="str">
        <f aca="false">IF(OR(E368="No",G368="No",I368="No",L368="YES",Q368="Unmatched"),"NEEDS REVIEW","OK")</f>
        <v>NEEDS REVIEW</v>
      </c>
    </row>
    <row r="369" customFormat="false" ht="15" hidden="false" customHeight="false" outlineLevel="0" collapsed="false">
      <c r="A369" s="4" t="str">
        <f aca="false">Orders_Raw!A369</f>
        <v>ORD00251</v>
      </c>
      <c r="B369" s="4" t="str">
        <f aca="false">TRIM(UPPER(Orders_Raw!B369))</f>
        <v>CUST0038</v>
      </c>
      <c r="C369" s="4" t="str">
        <f aca="false">PROPER(TRIM(Orders_Raw!C369))</f>
        <v>Blessing Obi</v>
      </c>
      <c r="D369" s="6" t="n">
        <f aca="false">IFERROR(DATEVALUE(Orders_Raw!D369),"")</f>
        <v>46097</v>
      </c>
      <c r="E369" s="4" t="str">
        <f aca="false">IF(D369="","No","Yes")</f>
        <v>Yes</v>
      </c>
      <c r="F369" s="4" t="n">
        <f aca="false">IFERROR(VALUE(SUBSTITUTE(SUBSTITUTE(SUBSTITUTE(Orders_Raw!G369,"$",""),"NGN",""),",","")),"")</f>
        <v>2129.52</v>
      </c>
      <c r="G369" s="4" t="str">
        <f aca="false">IF(F369="","No","Yes")</f>
        <v>Yes</v>
      </c>
      <c r="H369" s="4" t="str">
        <f aca="false">Orders_Raw!F369</f>
        <v>4</v>
      </c>
      <c r="I369" s="4" t="str">
        <f aca="false">IF(H369="","No",IF(H369&lt;=0,"No","Yes"))</f>
        <v>Yes</v>
      </c>
      <c r="J369" s="4" t="str">
        <f aca="false">Orders_Raw!E369</f>
        <v>Printer</v>
      </c>
      <c r="K369" s="4" t="str">
        <f aca="false">Orders_Raw!H369</f>
        <v>2026-03-16 12:14</v>
      </c>
      <c r="L369" s="4" t="str">
        <f aca="false">IF(COUNTIF(Orders_Raw!$A$5:$A$539,A369)&gt;1,"YES","No")</f>
        <v>No</v>
      </c>
      <c r="M369" s="4" t="str">
        <f aca="false">IF(COUNTIFS($B$5:$B$539,B369,$D$5:$D$539,D369,$F$5:$F$539,F369)&gt;1,"YES","No")</f>
        <v>No</v>
      </c>
      <c r="N369" s="4" t="str">
        <f aca="false">IFERROR(INDEX(Customer_Master!$B$5:$B$64,MATCH(B369,Customer_Master!$A$5:$A$64,0)),"UNMATCHED")</f>
        <v>James Sani</v>
      </c>
      <c r="O369" s="4" t="str">
        <f aca="false">IFERROR(INDEX(Customer_Master!$C$5:$C$64,MATCH(B369,Customer_Master!$A$5:$A$64,0)),"UNMATCHED")</f>
        <v>New</v>
      </c>
      <c r="P369" s="4" t="str">
        <f aca="false">IFERROR(INDEX(Customer_Master!$D$5:$D$64,MATCH(B369,Customer_Master!$A$5:$A$64,0)),"UNMATCHED")</f>
        <v>Port Harcourt</v>
      </c>
      <c r="Q369" s="4" t="str">
        <f aca="false">IF(N369="UNMATCHED","Unmatched","Matched")</f>
        <v>Matched</v>
      </c>
      <c r="R369" s="4" t="str">
        <f aca="false">IF(OR(E369="No",G369="No",I369="No",L369="YES",Q369="Unmatched"),"NEEDS REVIEW","OK")</f>
        <v>OK</v>
      </c>
    </row>
    <row r="370" customFormat="false" ht="15" hidden="false" customHeight="false" outlineLevel="0" collapsed="false">
      <c r="A370" s="4" t="str">
        <f aca="false">Orders_Raw!A370</f>
        <v>ORD00268</v>
      </c>
      <c r="B370" s="4" t="str">
        <f aca="false">TRIM(UPPER(Orders_Raw!B370))</f>
        <v>CUST0012</v>
      </c>
      <c r="C370" s="4" t="str">
        <f aca="false">PROPER(TRIM(Orders_Raw!C370))</f>
        <v>Kemi Sani</v>
      </c>
      <c r="D370" s="6" t="n">
        <f aca="false">IFERROR(DATEVALUE(Orders_Raw!D370),"")</f>
        <v>46123</v>
      </c>
      <c r="E370" s="4" t="str">
        <f aca="false">IF(D370="","No","Yes")</f>
        <v>Yes</v>
      </c>
      <c r="F370" s="4" t="n">
        <f aca="false">IFERROR(VALUE(SUBSTITUTE(SUBSTITUTE(SUBSTITUTE(Orders_Raw!G370,"$",""),"NGN",""),",","")),"")</f>
        <v>95.47</v>
      </c>
      <c r="G370" s="4" t="str">
        <f aca="false">IF(F370="","No","Yes")</f>
        <v>Yes</v>
      </c>
      <c r="H370" s="4" t="str">
        <f aca="false">Orders_Raw!F370</f>
        <v>2</v>
      </c>
      <c r="I370" s="4" t="str">
        <f aca="false">IF(H370="","No",IF(H370&lt;=0,"No","Yes"))</f>
        <v>Yes</v>
      </c>
      <c r="J370" s="4" t="str">
        <f aca="false">Orders_Raw!E370</f>
        <v>Charger</v>
      </c>
      <c r="K370" s="4" t="str">
        <f aca="false">Orders_Raw!H370</f>
        <v>2026-04-11 18:36</v>
      </c>
      <c r="L370" s="4" t="str">
        <f aca="false">IF(COUNTIF(Orders_Raw!$A$5:$A$539,A370)&gt;1,"YES","No")</f>
        <v>No</v>
      </c>
      <c r="M370" s="4" t="str">
        <f aca="false">IF(COUNTIFS($B$5:$B$539,B370,$D$5:$D$539,D370,$F$5:$F$539,F370)&gt;1,"YES","No")</f>
        <v>No</v>
      </c>
      <c r="N370" s="4" t="str">
        <f aca="false">IFERROR(INDEX(Customer_Master!$B$5:$B$64,MATCH(B370,Customer_Master!$A$5:$A$64,0)),"UNMATCHED")</f>
        <v>Kemi Sani</v>
      </c>
      <c r="O370" s="4" t="str">
        <f aca="false">IFERROR(INDEX(Customer_Master!$C$5:$C$64,MATCH(B370,Customer_Master!$A$5:$A$64,0)),"UNMATCHED")</f>
        <v>Champions</v>
      </c>
      <c r="P370" s="4" t="str">
        <f aca="false">IFERROR(INDEX(Customer_Master!$D$5:$D$64,MATCH(B370,Customer_Master!$A$5:$A$64,0)),"UNMATCHED")</f>
        <v>Kaduna</v>
      </c>
      <c r="Q370" s="4" t="str">
        <f aca="false">IF(N370="UNMATCHED","Unmatched","Matched")</f>
        <v>Matched</v>
      </c>
      <c r="R370" s="4" t="str">
        <f aca="false">IF(OR(E370="No",G370="No",I370="No",L370="YES",Q370="Unmatched"),"NEEDS REVIEW","OK")</f>
        <v>OK</v>
      </c>
    </row>
    <row r="371" customFormat="false" ht="15" hidden="false" customHeight="false" outlineLevel="0" collapsed="false">
      <c r="A371" s="4" t="str">
        <f aca="false">Orders_Raw!A371</f>
        <v>ORD00211</v>
      </c>
      <c r="B371" s="4" t="str">
        <f aca="false">TRIM(UPPER(Orders_Raw!B371))</f>
        <v>CUST0046</v>
      </c>
      <c r="C371" s="4" t="str">
        <f aca="false">PROPER(TRIM(Orders_Raw!C371))</f>
        <v>Fatima Nnamdi</v>
      </c>
      <c r="D371" s="6" t="n">
        <f aca="false">IFERROR(DATEVALUE(Orders_Raw!D371),"")</f>
        <v>46196</v>
      </c>
      <c r="E371" s="4" t="str">
        <f aca="false">IF(D371="","No","Yes")</f>
        <v>Yes</v>
      </c>
      <c r="F371" s="4" t="n">
        <f aca="false">IFERROR(VALUE(SUBSTITUTE(SUBSTITUTE(SUBSTITUTE(Orders_Raw!G371,"$",""),"NGN",""),",","")),"")</f>
        <v>2325.86</v>
      </c>
      <c r="G371" s="4" t="str">
        <f aca="false">IF(F371="","No","Yes")</f>
        <v>Yes</v>
      </c>
      <c r="H371" s="4" t="str">
        <f aca="false">Orders_Raw!F371</f>
        <v>3</v>
      </c>
      <c r="I371" s="4" t="str">
        <f aca="false">IF(H371="","No",IF(H371&lt;=0,"No","Yes"))</f>
        <v>Yes</v>
      </c>
      <c r="J371" s="4" t="str">
        <f aca="false">Orders_Raw!E371</f>
        <v>Tablet</v>
      </c>
      <c r="K371" s="4" t="str">
        <f aca="false">Orders_Raw!H371</f>
        <v>2026-06-23 14:29</v>
      </c>
      <c r="L371" s="4" t="str">
        <f aca="false">IF(COUNTIF(Orders_Raw!$A$5:$A$539,A371)&gt;1,"YES","No")</f>
        <v>No</v>
      </c>
      <c r="M371" s="4" t="str">
        <f aca="false">IF(COUNTIFS($B$5:$B$539,B371,$D$5:$D$539,D371,$F$5:$F$539,F371)&gt;1,"YES","No")</f>
        <v>No</v>
      </c>
      <c r="N371" s="4" t="str">
        <f aca="false">IFERROR(INDEX(Customer_Master!$B$5:$B$64,MATCH(B371,Customer_Master!$A$5:$A$64,0)),"UNMATCHED")</f>
        <v>Fatima Nnamdi</v>
      </c>
      <c r="O371" s="4" t="str">
        <f aca="false">IFERROR(INDEX(Customer_Master!$C$5:$C$64,MATCH(B371,Customer_Master!$A$5:$A$64,0)),"UNMATCHED")</f>
        <v>New</v>
      </c>
      <c r="P371" s="4" t="str">
        <f aca="false">IFERROR(INDEX(Customer_Master!$D$5:$D$64,MATCH(B371,Customer_Master!$A$5:$A$64,0)),"UNMATCHED")</f>
        <v>Enugu</v>
      </c>
      <c r="Q371" s="4" t="str">
        <f aca="false">IF(N371="UNMATCHED","Unmatched","Matched")</f>
        <v>Matched</v>
      </c>
      <c r="R371" s="4" t="str">
        <f aca="false">IF(OR(E371="No",G371="No",I371="No",L371="YES",Q371="Unmatched"),"NEEDS REVIEW","OK")</f>
        <v>OK</v>
      </c>
    </row>
    <row r="372" customFormat="false" ht="15" hidden="false" customHeight="false" outlineLevel="0" collapsed="false">
      <c r="A372" s="4" t="str">
        <f aca="false">Orders_Raw!A372</f>
        <v>ORD00045</v>
      </c>
      <c r="B372" s="4" t="str">
        <f aca="false">TRIM(UPPER(Orders_Raw!B372))</f>
        <v>CUST0046</v>
      </c>
      <c r="C372" s="4" t="str">
        <f aca="false">PROPER(TRIM(Orders_Raw!C372))</f>
        <v>Fatima Nnamdi</v>
      </c>
      <c r="D372" s="6" t="n">
        <f aca="false">IFERROR(DATEVALUE(Orders_Raw!D372),"")</f>
        <v>46357</v>
      </c>
      <c r="E372" s="4" t="str">
        <f aca="false">IF(D372="","No","Yes")</f>
        <v>Yes</v>
      </c>
      <c r="F372" s="4" t="n">
        <f aca="false">IFERROR(VALUE(SUBSTITUTE(SUBSTITUTE(SUBSTITUTE(Orders_Raw!G372,"$",""),"NGN",""),",","")),"")</f>
        <v>1390.1</v>
      </c>
      <c r="G372" s="4" t="str">
        <f aca="false">IF(F372="","No","Yes")</f>
        <v>Yes</v>
      </c>
      <c r="H372" s="4" t="str">
        <f aca="false">Orders_Raw!F372</f>
        <v>4</v>
      </c>
      <c r="I372" s="4" t="str">
        <f aca="false">IF(H372="","No",IF(H372&lt;=0,"No","Yes"))</f>
        <v>Yes</v>
      </c>
      <c r="J372" s="4" t="str">
        <f aca="false">Orders_Raw!E372</f>
        <v>Laptop</v>
      </c>
      <c r="K372" s="4" t="str">
        <f aca="false">Orders_Raw!H372</f>
        <v>2026-01-12 17:18</v>
      </c>
      <c r="L372" s="4" t="str">
        <f aca="false">IF(COUNTIF(Orders_Raw!$A$5:$A$539,A372)&gt;1,"YES","No")</f>
        <v>No</v>
      </c>
      <c r="M372" s="4" t="str">
        <f aca="false">IF(COUNTIFS($B$5:$B$539,B372,$D$5:$D$539,D372,$F$5:$F$539,F372)&gt;1,"YES","No")</f>
        <v>No</v>
      </c>
      <c r="N372" s="4" t="str">
        <f aca="false">IFERROR(INDEX(Customer_Master!$B$5:$B$64,MATCH(B372,Customer_Master!$A$5:$A$64,0)),"UNMATCHED")</f>
        <v>Fatima Nnamdi</v>
      </c>
      <c r="O372" s="4" t="str">
        <f aca="false">IFERROR(INDEX(Customer_Master!$C$5:$C$64,MATCH(B372,Customer_Master!$A$5:$A$64,0)),"UNMATCHED")</f>
        <v>New</v>
      </c>
      <c r="P372" s="4" t="str">
        <f aca="false">IFERROR(INDEX(Customer_Master!$D$5:$D$64,MATCH(B372,Customer_Master!$A$5:$A$64,0)),"UNMATCHED")</f>
        <v>Enugu</v>
      </c>
      <c r="Q372" s="4" t="str">
        <f aca="false">IF(N372="UNMATCHED","Unmatched","Matched")</f>
        <v>Matched</v>
      </c>
      <c r="R372" s="4" t="str">
        <f aca="false">IF(OR(E372="No",G372="No",I372="No",L372="YES",Q372="Unmatched"),"NEEDS REVIEW","OK")</f>
        <v>OK</v>
      </c>
    </row>
    <row r="373" customFormat="false" ht="15" hidden="false" customHeight="false" outlineLevel="0" collapsed="false">
      <c r="A373" s="4" t="str">
        <f aca="false">Orders_Raw!A373</f>
        <v>ORD00425</v>
      </c>
      <c r="B373" s="4" t="str">
        <f aca="false">TRIM(UPPER(Orders_Raw!B373))</f>
        <v>CUST0016</v>
      </c>
      <c r="C373" s="4" t="str">
        <f aca="false">PROPER(TRIM(Orders_Raw!C373))</f>
        <v>Chidi Ajayi</v>
      </c>
      <c r="D373" s="6" t="n">
        <f aca="false">IFERROR(DATEVALUE(Orders_Raw!D373),"")</f>
        <v>46119</v>
      </c>
      <c r="E373" s="4" t="str">
        <f aca="false">IF(D373="","No","Yes")</f>
        <v>Yes</v>
      </c>
      <c r="F373" s="4" t="n">
        <f aca="false">IFERROR(VALUE(SUBSTITUTE(SUBSTITUTE(SUBSTITUTE(Orders_Raw!G373,"$",""),"NGN",""),",","")),"")</f>
        <v>2316.48</v>
      </c>
      <c r="G373" s="4" t="str">
        <f aca="false">IF(F373="","No","Yes")</f>
        <v>Yes</v>
      </c>
      <c r="H373" s="4" t="str">
        <f aca="false">Orders_Raw!F373</f>
        <v>2</v>
      </c>
      <c r="I373" s="4" t="str">
        <f aca="false">IF(H373="","No",IF(H373&lt;=0,"No","Yes"))</f>
        <v>Yes</v>
      </c>
      <c r="J373" s="4" t="str">
        <f aca="false">Orders_Raw!E373</f>
        <v>Monitor</v>
      </c>
      <c r="K373" s="4" t="str">
        <f aca="false">Orders_Raw!H373</f>
        <v>2026-04-07 08:46</v>
      </c>
      <c r="L373" s="4" t="str">
        <f aca="false">IF(COUNTIF(Orders_Raw!$A$5:$A$539,A373)&gt;1,"YES","No")</f>
        <v>No</v>
      </c>
      <c r="M373" s="4" t="str">
        <f aca="false">IF(COUNTIFS($B$5:$B$539,B373,$D$5:$D$539,D373,$F$5:$F$539,F373)&gt;1,"YES","No")</f>
        <v>No</v>
      </c>
      <c r="N373" s="4" t="str">
        <f aca="false">IFERROR(INDEX(Customer_Master!$B$5:$B$64,MATCH(B373,Customer_Master!$A$5:$A$64,0)),"UNMATCHED")</f>
        <v>Chidi Ajayi</v>
      </c>
      <c r="O373" s="4" t="str">
        <f aca="false">IFERROR(INDEX(Customer_Master!$C$5:$C$64,MATCH(B373,Customer_Master!$A$5:$A$64,0)),"UNMATCHED")</f>
        <v>At Risk</v>
      </c>
      <c r="P373" s="4" t="str">
        <f aca="false">IFERROR(INDEX(Customer_Master!$D$5:$D$64,MATCH(B373,Customer_Master!$A$5:$A$64,0)),"UNMATCHED")</f>
        <v>Abuja</v>
      </c>
      <c r="Q373" s="4" t="str">
        <f aca="false">IF(N373="UNMATCHED","Unmatched","Matched")</f>
        <v>Matched</v>
      </c>
      <c r="R373" s="4" t="str">
        <f aca="false">IF(OR(E373="No",G373="No",I373="No",L373="YES",Q373="Unmatched"),"NEEDS REVIEW","OK")</f>
        <v>OK</v>
      </c>
    </row>
    <row r="374" customFormat="false" ht="15" hidden="false" customHeight="false" outlineLevel="0" collapsed="false">
      <c r="A374" s="4" t="str">
        <f aca="false">Orders_Raw!A374</f>
        <v>ORD00284</v>
      </c>
      <c r="B374" s="4" t="str">
        <f aca="false">TRIM(UPPER(Orders_Raw!B374))</f>
        <v>CUST0031</v>
      </c>
      <c r="C374" s="4" t="str">
        <f aca="false">PROPER(TRIM(Orders_Raw!C374))</f>
        <v>Emeka Adeyemi</v>
      </c>
      <c r="D374" s="6" t="n">
        <f aca="false">IFERROR(DATEVALUE(Orders_Raw!D374),"")</f>
        <v>46059</v>
      </c>
      <c r="E374" s="4" t="str">
        <f aca="false">IF(D374="","No","Yes")</f>
        <v>Yes</v>
      </c>
      <c r="F374" s="4" t="n">
        <f aca="false">IFERROR(VALUE(SUBSTITUTE(SUBSTITUTE(SUBSTITUTE(Orders_Raw!G374,"$",""),"NGN",""),",","")),"")</f>
        <v>1527.51</v>
      </c>
      <c r="G374" s="4" t="str">
        <f aca="false">IF(F374="","No","Yes")</f>
        <v>Yes</v>
      </c>
      <c r="H374" s="4" t="str">
        <f aca="false">Orders_Raw!F374</f>
        <v>1</v>
      </c>
      <c r="I374" s="4" t="str">
        <f aca="false">IF(H374="","No",IF(H374&lt;=0,"No","Yes"))</f>
        <v>Yes</v>
      </c>
      <c r="J374" s="4" t="str">
        <f aca="false">Orders_Raw!E374</f>
        <v>Charger</v>
      </c>
      <c r="K374" s="4" t="str">
        <f aca="false">Orders_Raw!H374</f>
        <v>2026-02-06 08:47</v>
      </c>
      <c r="L374" s="4" t="str">
        <f aca="false">IF(COUNTIF(Orders_Raw!$A$5:$A$539,A374)&gt;1,"YES","No")</f>
        <v>No</v>
      </c>
      <c r="M374" s="4" t="str">
        <f aca="false">IF(COUNTIFS($B$5:$B$539,B374,$D$5:$D$539,D374,$F$5:$F$539,F374)&gt;1,"YES","No")</f>
        <v>No</v>
      </c>
      <c r="N374" s="4" t="str">
        <f aca="false">IFERROR(INDEX(Customer_Master!$B$5:$B$64,MATCH(B374,Customer_Master!$A$5:$A$64,0)),"UNMATCHED")</f>
        <v>Emeka Adeyemi</v>
      </c>
      <c r="O374" s="4" t="str">
        <f aca="false">IFERROR(INDEX(Customer_Master!$C$5:$C$64,MATCH(B374,Customer_Master!$A$5:$A$64,0)),"UNMATCHED")</f>
        <v>Champions</v>
      </c>
      <c r="P374" s="4" t="str">
        <f aca="false">IFERROR(INDEX(Customer_Master!$D$5:$D$64,MATCH(B374,Customer_Master!$A$5:$A$64,0)),"UNMATCHED")</f>
        <v>Port Harcourt</v>
      </c>
      <c r="Q374" s="4" t="str">
        <f aca="false">IF(N374="UNMATCHED","Unmatched","Matched")</f>
        <v>Matched</v>
      </c>
      <c r="R374" s="4" t="str">
        <f aca="false">IF(OR(E374="No",G374="No",I374="No",L374="YES",Q374="Unmatched"),"NEEDS REVIEW","OK")</f>
        <v>OK</v>
      </c>
    </row>
    <row r="375" customFormat="false" ht="15" hidden="false" customHeight="false" outlineLevel="0" collapsed="false">
      <c r="A375" s="4" t="str">
        <f aca="false">Orders_Raw!A375</f>
        <v>ORD00296</v>
      </c>
      <c r="B375" s="4" t="str">
        <f aca="false">TRIM(UPPER(Orders_Raw!B375))</f>
        <v>CUST0037</v>
      </c>
      <c r="C375" s="4" t="str">
        <f aca="false">PROPER(TRIM(Orders_Raw!C375))</f>
        <v>Blessing Obi</v>
      </c>
      <c r="D375" s="6" t="n">
        <f aca="false">IFERROR(DATEVALUE(Orders_Raw!D375),"")</f>
        <v>46208</v>
      </c>
      <c r="E375" s="4" t="str">
        <f aca="false">IF(D375="","No","Yes")</f>
        <v>Yes</v>
      </c>
      <c r="F375" s="4" t="n">
        <f aca="false">IFERROR(VALUE(SUBSTITUTE(SUBSTITUTE(SUBSTITUTE(Orders_Raw!G375,"$",""),"NGN",""),",","")),"")</f>
        <v>1720.5</v>
      </c>
      <c r="G375" s="4" t="str">
        <f aca="false">IF(F375="","No","Yes")</f>
        <v>Yes</v>
      </c>
      <c r="H375" s="4" t="str">
        <f aca="false">Orders_Raw!F375</f>
        <v>4</v>
      </c>
      <c r="I375" s="4" t="str">
        <f aca="false">IF(H375="","No",IF(H375&lt;=0,"No","Yes"))</f>
        <v>Yes</v>
      </c>
      <c r="J375" s="4" t="str">
        <f aca="false">Orders_Raw!E375</f>
        <v>Headphones</v>
      </c>
      <c r="K375" s="4" t="str">
        <f aca="false">Orders_Raw!H375</f>
        <v>2026-07-05 18:56</v>
      </c>
      <c r="L375" s="4" t="str">
        <f aca="false">IF(COUNTIF(Orders_Raw!$A$5:$A$539,A375)&gt;1,"YES","No")</f>
        <v>No</v>
      </c>
      <c r="M375" s="4" t="str">
        <f aca="false">IF(COUNTIFS($B$5:$B$539,B375,$D$5:$D$539,D375,$F$5:$F$539,F375)&gt;1,"YES","No")</f>
        <v>No</v>
      </c>
      <c r="N375" s="4" t="str">
        <f aca="false">IFERROR(INDEX(Customer_Master!$B$5:$B$64,MATCH(B375,Customer_Master!$A$5:$A$64,0)),"UNMATCHED")</f>
        <v>Blessing Obi</v>
      </c>
      <c r="O375" s="4" t="str">
        <f aca="false">IFERROR(INDEX(Customer_Master!$C$5:$C$64,MATCH(B375,Customer_Master!$A$5:$A$64,0)),"UNMATCHED")</f>
        <v>Lost / Low-Value</v>
      </c>
      <c r="P375" s="4" t="str">
        <f aca="false">IFERROR(INDEX(Customer_Master!$D$5:$D$64,MATCH(B375,Customer_Master!$A$5:$A$64,0)),"UNMATCHED")</f>
        <v>Lagos</v>
      </c>
      <c r="Q375" s="4" t="str">
        <f aca="false">IF(N375="UNMATCHED","Unmatched","Matched")</f>
        <v>Matched</v>
      </c>
      <c r="R375" s="4" t="str">
        <f aca="false">IF(OR(E375="No",G375="No",I375="No",L375="YES",Q375="Unmatched"),"NEEDS REVIEW","OK")</f>
        <v>OK</v>
      </c>
    </row>
    <row r="376" customFormat="false" ht="15" hidden="false" customHeight="false" outlineLevel="0" collapsed="false">
      <c r="A376" s="4" t="str">
        <f aca="false">Orders_Raw!A376</f>
        <v>ORD00447</v>
      </c>
      <c r="B376" s="4" t="str">
        <f aca="false">TRIM(UPPER(Orders_Raw!B376))</f>
        <v>CUST0054</v>
      </c>
      <c r="C376" s="4" t="str">
        <f aca="false">PROPER(TRIM(Orders_Raw!C376))</f>
        <v>Samuel Ajayi</v>
      </c>
      <c r="D376" s="6" t="n">
        <f aca="false">IFERROR(DATEVALUE(Orders_Raw!D376),"")</f>
        <v>46218</v>
      </c>
      <c r="E376" s="4" t="str">
        <f aca="false">IF(D376="","No","Yes")</f>
        <v>Yes</v>
      </c>
      <c r="F376" s="4" t="n">
        <f aca="false">IFERROR(VALUE(SUBSTITUTE(SUBSTITUTE(SUBSTITUTE(Orders_Raw!G376,"$",""),"NGN",""),",","")),"")</f>
        <v>2202.13</v>
      </c>
      <c r="G376" s="4" t="str">
        <f aca="false">IF(F376="","No","Yes")</f>
        <v>Yes</v>
      </c>
      <c r="H376" s="4" t="str">
        <f aca="false">Orders_Raw!F376</f>
        <v>2</v>
      </c>
      <c r="I376" s="4" t="str">
        <f aca="false">IF(H376="","No",IF(H376&lt;=0,"No","Yes"))</f>
        <v>Yes</v>
      </c>
      <c r="J376" s="4" t="str">
        <f aca="false">Orders_Raw!E376</f>
        <v>Mouse</v>
      </c>
      <c r="K376" s="4" t="str">
        <f aca="false">Orders_Raw!H376</f>
        <v>2026-07-15 10:49</v>
      </c>
      <c r="L376" s="4" t="str">
        <f aca="false">IF(COUNTIF(Orders_Raw!$A$5:$A$539,A376)&gt;1,"YES","No")</f>
        <v>No</v>
      </c>
      <c r="M376" s="4" t="str">
        <f aca="false">IF(COUNTIFS($B$5:$B$539,B376,$D$5:$D$539,D376,$F$5:$F$539,F376)&gt;1,"YES","No")</f>
        <v>No</v>
      </c>
      <c r="N376" s="4" t="str">
        <f aca="false">IFERROR(INDEX(Customer_Master!$B$5:$B$64,MATCH(B376,Customer_Master!$A$5:$A$64,0)),"UNMATCHED")</f>
        <v>Samuel Ajayi</v>
      </c>
      <c r="O376" s="4" t="str">
        <f aca="false">IFERROR(INDEX(Customer_Master!$C$5:$C$64,MATCH(B376,Customer_Master!$A$5:$A$64,0)),"UNMATCHED")</f>
        <v>At Risk</v>
      </c>
      <c r="P376" s="4" t="str">
        <f aca="false">IFERROR(INDEX(Customer_Master!$D$5:$D$64,MATCH(B376,Customer_Master!$A$5:$A$64,0)),"UNMATCHED")</f>
        <v>Kaduna</v>
      </c>
      <c r="Q376" s="4" t="str">
        <f aca="false">IF(N376="UNMATCHED","Unmatched","Matched")</f>
        <v>Matched</v>
      </c>
      <c r="R376" s="4" t="str">
        <f aca="false">IF(OR(E376="No",G376="No",I376="No",L376="YES",Q376="Unmatched"),"NEEDS REVIEW","OK")</f>
        <v>OK</v>
      </c>
    </row>
    <row r="377" customFormat="false" ht="15" hidden="false" customHeight="false" outlineLevel="0" collapsed="false">
      <c r="A377" s="4" t="str">
        <f aca="false">Orders_Raw!A377</f>
        <v>ORD00504</v>
      </c>
      <c r="B377" s="4" t="str">
        <f aca="false">TRIM(UPPER(Orders_Raw!B377))</f>
        <v>CUST0034</v>
      </c>
      <c r="C377" s="4" t="str">
        <f aca="false">PROPER(TRIM(Orders_Raw!C377))</f>
        <v>Samuel Sani</v>
      </c>
      <c r="D377" s="6" t="n">
        <f aca="false">IFERROR(DATEVALUE(Orders_Raw!D377),"")</f>
        <v>46047</v>
      </c>
      <c r="E377" s="4" t="str">
        <f aca="false">IF(D377="","No","Yes")</f>
        <v>Yes</v>
      </c>
      <c r="F377" s="4" t="n">
        <f aca="false">IFERROR(VALUE(SUBSTITUTE(SUBSTITUTE(SUBSTITUTE(Orders_Raw!G377,"$",""),"NGN",""),",","")),"")</f>
        <v>1599</v>
      </c>
      <c r="G377" s="4" t="str">
        <f aca="false">IF(F377="","No","Yes")</f>
        <v>Yes</v>
      </c>
      <c r="H377" s="4" t="str">
        <f aca="false">Orders_Raw!F377</f>
        <v>3</v>
      </c>
      <c r="I377" s="4" t="str">
        <f aca="false">IF(H377="","No",IF(H377&lt;=0,"No","Yes"))</f>
        <v>Yes</v>
      </c>
      <c r="J377" s="4" t="str">
        <f aca="false">Orders_Raw!E377</f>
        <v>Keyboard</v>
      </c>
      <c r="K377" s="4" t="str">
        <f aca="false">Orders_Raw!H377</f>
        <v>2026-01-25 12:17</v>
      </c>
      <c r="L377" s="4" t="str">
        <f aca="false">IF(COUNTIF(Orders_Raw!$A$5:$A$539,A377)&gt;1,"YES","No")</f>
        <v>No</v>
      </c>
      <c r="M377" s="4" t="str">
        <f aca="false">IF(COUNTIFS($B$5:$B$539,B377,$D$5:$D$539,D377,$F$5:$F$539,F377)&gt;1,"YES","No")</f>
        <v>No</v>
      </c>
      <c r="N377" s="4" t="str">
        <f aca="false">IFERROR(INDEX(Customer_Master!$B$5:$B$64,MATCH(B377,Customer_Master!$A$5:$A$64,0)),"UNMATCHED")</f>
        <v>Samuel Sani</v>
      </c>
      <c r="O377" s="4" t="str">
        <f aca="false">IFERROR(INDEX(Customer_Master!$C$5:$C$64,MATCH(B377,Customer_Master!$A$5:$A$64,0)),"UNMATCHED")</f>
        <v>New</v>
      </c>
      <c r="P377" s="4" t="str">
        <f aca="false">IFERROR(INDEX(Customer_Master!$D$5:$D$64,MATCH(B377,Customer_Master!$A$5:$A$64,0)),"UNMATCHED")</f>
        <v>Lagos</v>
      </c>
      <c r="Q377" s="4" t="str">
        <f aca="false">IF(N377="UNMATCHED","Unmatched","Matched")</f>
        <v>Matched</v>
      </c>
      <c r="R377" s="4" t="str">
        <f aca="false">IF(OR(E377="No",G377="No",I377="No",L377="YES",Q377="Unmatched"),"NEEDS REVIEW","OK")</f>
        <v>OK</v>
      </c>
    </row>
    <row r="378" customFormat="false" ht="15" hidden="false" customHeight="false" outlineLevel="0" collapsed="false">
      <c r="A378" s="4" t="str">
        <f aca="false">Orders_Raw!A378</f>
        <v>ORD00327</v>
      </c>
      <c r="B378" s="4" t="str">
        <f aca="false">TRIM(UPPER(Orders_Raw!B378))</f>
        <v>CUST0026</v>
      </c>
      <c r="C378" s="4" t="str">
        <f aca="false">PROPER(TRIM(Orders_Raw!C378))</f>
        <v>Amaka Yakubu</v>
      </c>
      <c r="D378" s="6" t="n">
        <f aca="false">IFERROR(DATEVALUE(Orders_Raw!D378),"")</f>
        <v>46138</v>
      </c>
      <c r="E378" s="4" t="str">
        <f aca="false">IF(D378="","No","Yes")</f>
        <v>Yes</v>
      </c>
      <c r="F378" s="4" t="n">
        <f aca="false">IFERROR(VALUE(SUBSTITUTE(SUBSTITUTE(SUBSTITUTE(Orders_Raw!G378,"$",""),"NGN",""),",","")),"")</f>
        <v>358.38</v>
      </c>
      <c r="G378" s="4" t="str">
        <f aca="false">IF(F378="","No","Yes")</f>
        <v>Yes</v>
      </c>
      <c r="H378" s="4" t="str">
        <f aca="false">Orders_Raw!F378</f>
        <v>4</v>
      </c>
      <c r="I378" s="4" t="str">
        <f aca="false">IF(H378="","No",IF(H378&lt;=0,"No","Yes"))</f>
        <v>Yes</v>
      </c>
      <c r="J378" s="4" t="str">
        <f aca="false">Orders_Raw!E378</f>
        <v>Tablet</v>
      </c>
      <c r="K378" s="4" t="str">
        <f aca="false">Orders_Raw!H378</f>
        <v>2026-04-26 13:45</v>
      </c>
      <c r="L378" s="4" t="str">
        <f aca="false">IF(COUNTIF(Orders_Raw!$A$5:$A$539,A378)&gt;1,"YES","No")</f>
        <v>No</v>
      </c>
      <c r="M378" s="4" t="str">
        <f aca="false">IF(COUNTIFS($B$5:$B$539,B378,$D$5:$D$539,D378,$F$5:$F$539,F378)&gt;1,"YES","No")</f>
        <v>No</v>
      </c>
      <c r="N378" s="4" t="str">
        <f aca="false">IFERROR(INDEX(Customer_Master!$B$5:$B$64,MATCH(B378,Customer_Master!$A$5:$A$64,0)),"UNMATCHED")</f>
        <v>Amaka Yakubu</v>
      </c>
      <c r="O378" s="4" t="str">
        <f aca="false">IFERROR(INDEX(Customer_Master!$C$5:$C$64,MATCH(B378,Customer_Master!$A$5:$A$64,0)),"UNMATCHED")</f>
        <v>Lost / Low-Value</v>
      </c>
      <c r="P378" s="4" t="str">
        <f aca="false">IFERROR(INDEX(Customer_Master!$D$5:$D$64,MATCH(B378,Customer_Master!$A$5:$A$64,0)),"UNMATCHED")</f>
        <v>Kaduna</v>
      </c>
      <c r="Q378" s="4" t="str">
        <f aca="false">IF(N378="UNMATCHED","Unmatched","Matched")</f>
        <v>Matched</v>
      </c>
      <c r="R378" s="4" t="str">
        <f aca="false">IF(OR(E378="No",G378="No",I378="No",L378="YES",Q378="Unmatched"),"NEEDS REVIEW","OK")</f>
        <v>OK</v>
      </c>
    </row>
    <row r="379" customFormat="false" ht="15" hidden="false" customHeight="false" outlineLevel="0" collapsed="false">
      <c r="A379" s="4" t="str">
        <f aca="false">Orders_Raw!A379</f>
        <v>ORD00443</v>
      </c>
      <c r="B379" s="4" t="str">
        <f aca="false">TRIM(UPPER(Orders_Raw!B379))</f>
        <v>CUST0004</v>
      </c>
      <c r="C379" s="4" t="str">
        <f aca="false">PROPER(TRIM(Orders_Raw!C379))</f>
        <v>Grace Duru</v>
      </c>
      <c r="D379" s="6" t="n">
        <f aca="false">IFERROR(DATEVALUE(Orders_Raw!D379),"")</f>
        <v>46030</v>
      </c>
      <c r="E379" s="4" t="str">
        <f aca="false">IF(D379="","No","Yes")</f>
        <v>Yes</v>
      </c>
      <c r="F379" s="4" t="n">
        <f aca="false">IFERROR(VALUE(SUBSTITUTE(SUBSTITUTE(SUBSTITUTE(Orders_Raw!G379,"$",""),"NGN",""),",","")),"")</f>
        <v>2373.55</v>
      </c>
      <c r="G379" s="4" t="str">
        <f aca="false">IF(F379="","No","Yes")</f>
        <v>Yes</v>
      </c>
      <c r="H379" s="4" t="str">
        <f aca="false">Orders_Raw!F379</f>
        <v>1</v>
      </c>
      <c r="I379" s="4" t="str">
        <f aca="false">IF(H379="","No",IF(H379&lt;=0,"No","Yes"))</f>
        <v>Yes</v>
      </c>
      <c r="J379" s="4" t="str">
        <f aca="false">Orders_Raw!E379</f>
        <v>Headphones</v>
      </c>
      <c r="K379" s="4" t="str">
        <f aca="false">Orders_Raw!H379</f>
        <v>2026-01-08 09:46</v>
      </c>
      <c r="L379" s="4" t="str">
        <f aca="false">IF(COUNTIF(Orders_Raw!$A$5:$A$539,A379)&gt;1,"YES","No")</f>
        <v>No</v>
      </c>
      <c r="M379" s="4" t="str">
        <f aca="false">IF(COUNTIFS($B$5:$B$539,B379,$D$5:$D$539,D379,$F$5:$F$539,F379)&gt;1,"YES","No")</f>
        <v>No</v>
      </c>
      <c r="N379" s="4" t="str">
        <f aca="false">IFERROR(INDEX(Customer_Master!$B$5:$B$64,MATCH(B379,Customer_Master!$A$5:$A$64,0)),"UNMATCHED")</f>
        <v>Grace Duru</v>
      </c>
      <c r="O379" s="4" t="str">
        <f aca="false">IFERROR(INDEX(Customer_Master!$C$5:$C$64,MATCH(B379,Customer_Master!$A$5:$A$64,0)),"UNMATCHED")</f>
        <v>Champions</v>
      </c>
      <c r="P379" s="4" t="str">
        <f aca="false">IFERROR(INDEX(Customer_Master!$D$5:$D$64,MATCH(B379,Customer_Master!$A$5:$A$64,0)),"UNMATCHED")</f>
        <v>Kano</v>
      </c>
      <c r="Q379" s="4" t="str">
        <f aca="false">IF(N379="UNMATCHED","Unmatched","Matched")</f>
        <v>Matched</v>
      </c>
      <c r="R379" s="4" t="str">
        <f aca="false">IF(OR(E379="No",G379="No",I379="No",L379="YES",Q379="Unmatched"),"NEEDS REVIEW","OK")</f>
        <v>OK</v>
      </c>
    </row>
    <row r="380" customFormat="false" ht="15" hidden="false" customHeight="false" outlineLevel="0" collapsed="false">
      <c r="A380" s="4" t="str">
        <f aca="false">Orders_Raw!A380</f>
        <v>ORD00310</v>
      </c>
      <c r="B380" s="4" t="str">
        <f aca="false">TRIM(UPPER(Orders_Raw!B380))</f>
        <v>CUSTO016</v>
      </c>
      <c r="C380" s="4" t="str">
        <f aca="false">PROPER(TRIM(Orders_Raw!C380))</f>
        <v>Chidi Ajayi</v>
      </c>
      <c r="D380" s="6" t="str">
        <f aca="false">IFERROR(DATEVALUE(Orders_Raw!D380),"")</f>
        <v/>
      </c>
      <c r="E380" s="4" t="str">
        <f aca="false">IF(D380="","No","Yes")</f>
        <v>No</v>
      </c>
      <c r="F380" s="4" t="n">
        <f aca="false">IFERROR(VALUE(SUBSTITUTE(SUBSTITUTE(SUBSTITUTE(Orders_Raw!G380,"$",""),"NGN",""),",","")),"")</f>
        <v>385.62</v>
      </c>
      <c r="G380" s="4" t="str">
        <f aca="false">IF(F380="","No","Yes")</f>
        <v>Yes</v>
      </c>
      <c r="H380" s="4" t="str">
        <f aca="false">Orders_Raw!F380</f>
        <v>5</v>
      </c>
      <c r="I380" s="4" t="str">
        <f aca="false">IF(H380="","No",IF(H380&lt;=0,"No","Yes"))</f>
        <v>Yes</v>
      </c>
      <c r="J380" s="4" t="str">
        <f aca="false">Orders_Raw!E380</f>
        <v>Phone</v>
      </c>
      <c r="K380" s="4" t="str">
        <f aca="false">Orders_Raw!H380</f>
        <v>2026-05-27 12:41</v>
      </c>
      <c r="L380" s="4" t="str">
        <f aca="false">IF(COUNTIF(Orders_Raw!$A$5:$A$539,A380)&gt;1,"YES","No")</f>
        <v>No</v>
      </c>
      <c r="M380" s="4" t="str">
        <f aca="false">IF(COUNTIFS($B$5:$B$539,B380,$D$5:$D$539,D380,$F$5:$F$539,F380)&gt;1,"YES","No")</f>
        <v>No</v>
      </c>
      <c r="N380" s="4" t="str">
        <f aca="false">IFERROR(INDEX(Customer_Master!$B$5:$B$64,MATCH(B380,Customer_Master!$A$5:$A$64,0)),"UNMATCHED")</f>
        <v>UNMATCHED</v>
      </c>
      <c r="O380" s="4" t="str">
        <f aca="false">IFERROR(INDEX(Customer_Master!$C$5:$C$64,MATCH(B380,Customer_Master!$A$5:$A$64,0)),"UNMATCHED")</f>
        <v>UNMATCHED</v>
      </c>
      <c r="P380" s="4" t="str">
        <f aca="false">IFERROR(INDEX(Customer_Master!$D$5:$D$64,MATCH(B380,Customer_Master!$A$5:$A$64,0)),"UNMATCHED")</f>
        <v>UNMATCHED</v>
      </c>
      <c r="Q380" s="4" t="str">
        <f aca="false">IF(N380="UNMATCHED","Unmatched","Matched")</f>
        <v>Unmatched</v>
      </c>
      <c r="R380" s="4" t="str">
        <f aca="false">IF(OR(E380="No",G380="No",I380="No",L380="YES",Q380="Unmatched"),"NEEDS REVIEW","OK")</f>
        <v>NEEDS REVIEW</v>
      </c>
    </row>
    <row r="381" customFormat="false" ht="15" hidden="false" customHeight="false" outlineLevel="0" collapsed="false">
      <c r="A381" s="4" t="str">
        <f aca="false">Orders_Raw!A381</f>
        <v>ORD00152</v>
      </c>
      <c r="B381" s="4" t="str">
        <f aca="false">TRIM(UPPER(Orders_Raw!B381))</f>
        <v>CUST0050</v>
      </c>
      <c r="C381" s="4" t="str">
        <f aca="false">PROPER(TRIM(Orders_Raw!C381))</f>
        <v>Ngozi Duru</v>
      </c>
      <c r="D381" s="6" t="n">
        <f aca="false">IFERROR(DATEVALUE(Orders_Raw!D381),"")</f>
        <v>46241</v>
      </c>
      <c r="E381" s="4" t="str">
        <f aca="false">IF(D381="","No","Yes")</f>
        <v>Yes</v>
      </c>
      <c r="F381" s="4" t="n">
        <f aca="false">IFERROR(VALUE(SUBSTITUTE(SUBSTITUTE(SUBSTITUTE(Orders_Raw!G381,"$",""),"NGN",""),",","")),"")</f>
        <v>1768.85</v>
      </c>
      <c r="G381" s="4" t="str">
        <f aca="false">IF(F381="","No","Yes")</f>
        <v>Yes</v>
      </c>
      <c r="H381" s="4" t="str">
        <f aca="false">Orders_Raw!F381</f>
        <v>1</v>
      </c>
      <c r="I381" s="4" t="str">
        <f aca="false">IF(H381="","No",IF(H381&lt;=0,"No","Yes"))</f>
        <v>Yes</v>
      </c>
      <c r="J381" s="4" t="str">
        <f aca="false">Orders_Raw!E381</f>
        <v>Printer</v>
      </c>
      <c r="K381" s="4" t="str">
        <f aca="false">Orders_Raw!H381</f>
        <v>2026-07-08 16:24</v>
      </c>
      <c r="L381" s="4" t="str">
        <f aca="false">IF(COUNTIF(Orders_Raw!$A$5:$A$539,A381)&gt;1,"YES","No")</f>
        <v>No</v>
      </c>
      <c r="M381" s="4" t="str">
        <f aca="false">IF(COUNTIFS($B$5:$B$539,B381,$D$5:$D$539,D381,$F$5:$F$539,F381)&gt;1,"YES","No")</f>
        <v>No</v>
      </c>
      <c r="N381" s="4" t="str">
        <f aca="false">IFERROR(INDEX(Customer_Master!$B$5:$B$64,MATCH(B381,Customer_Master!$A$5:$A$64,0)),"UNMATCHED")</f>
        <v>Ngozi Duru</v>
      </c>
      <c r="O381" s="4" t="str">
        <f aca="false">IFERROR(INDEX(Customer_Master!$C$5:$C$64,MATCH(B381,Customer_Master!$A$5:$A$64,0)),"UNMATCHED")</f>
        <v>New</v>
      </c>
      <c r="P381" s="4" t="str">
        <f aca="false">IFERROR(INDEX(Customer_Master!$D$5:$D$64,MATCH(B381,Customer_Master!$A$5:$A$64,0)),"UNMATCHED")</f>
        <v>Kano</v>
      </c>
      <c r="Q381" s="4" t="str">
        <f aca="false">IF(N381="UNMATCHED","Unmatched","Matched")</f>
        <v>Matched</v>
      </c>
      <c r="R381" s="4" t="str">
        <f aca="false">IF(OR(E381="No",G381="No",I381="No",L381="YES",Q381="Unmatched"),"NEEDS REVIEW","OK")</f>
        <v>OK</v>
      </c>
    </row>
    <row r="382" customFormat="false" ht="15" hidden="false" customHeight="false" outlineLevel="0" collapsed="false">
      <c r="A382" s="4" t="str">
        <f aca="false">Orders_Raw!A382</f>
        <v>ORD00414</v>
      </c>
      <c r="B382" s="4" t="str">
        <f aca="false">TRIM(UPPER(Orders_Raw!B382))</f>
        <v>CUST0042</v>
      </c>
      <c r="C382" s="4" t="str">
        <f aca="false">PROPER(TRIM(Orders_Raw!C382))</f>
        <v>Bisi Chukwu</v>
      </c>
      <c r="D382" s="6" t="n">
        <f aca="false">IFERROR(DATEVALUE(Orders_Raw!D382),"")</f>
        <v>46210</v>
      </c>
      <c r="E382" s="4" t="str">
        <f aca="false">IF(D382="","No","Yes")</f>
        <v>Yes</v>
      </c>
      <c r="F382" s="4" t="n">
        <f aca="false">IFERROR(VALUE(SUBSTITUTE(SUBSTITUTE(SUBSTITUTE(Orders_Raw!G382,"$",""),"NGN",""),",","")),"")</f>
        <v>68.06</v>
      </c>
      <c r="G382" s="4" t="str">
        <f aca="false">IF(F382="","No","Yes")</f>
        <v>Yes</v>
      </c>
      <c r="H382" s="4" t="str">
        <f aca="false">Orders_Raw!F382</f>
        <v>2</v>
      </c>
      <c r="I382" s="4" t="str">
        <f aca="false">IF(H382="","No",IF(H382&lt;=0,"No","Yes"))</f>
        <v>Yes</v>
      </c>
      <c r="J382" s="4" t="str">
        <f aca="false">Orders_Raw!E382</f>
        <v>Laptop</v>
      </c>
      <c r="K382" s="4" t="str">
        <f aca="false">Orders_Raw!H382</f>
        <v>2026-07-07 15:45</v>
      </c>
      <c r="L382" s="4" t="str">
        <f aca="false">IF(COUNTIF(Orders_Raw!$A$5:$A$539,A382)&gt;1,"YES","No")</f>
        <v>No</v>
      </c>
      <c r="M382" s="4" t="str">
        <f aca="false">IF(COUNTIFS($B$5:$B$539,B382,$D$5:$D$539,D382,$F$5:$F$539,F382)&gt;1,"YES","No")</f>
        <v>No</v>
      </c>
      <c r="N382" s="4" t="str">
        <f aca="false">IFERROR(INDEX(Customer_Master!$B$5:$B$64,MATCH(B382,Customer_Master!$A$5:$A$64,0)),"UNMATCHED")</f>
        <v>Bisi Chukwu</v>
      </c>
      <c r="O382" s="4" t="str">
        <f aca="false">IFERROR(INDEX(Customer_Master!$C$5:$C$64,MATCH(B382,Customer_Master!$A$5:$A$64,0)),"UNMATCHED")</f>
        <v>At Risk</v>
      </c>
      <c r="P382" s="4" t="str">
        <f aca="false">IFERROR(INDEX(Customer_Master!$D$5:$D$64,MATCH(B382,Customer_Master!$A$5:$A$64,0)),"UNMATCHED")</f>
        <v>Kano</v>
      </c>
      <c r="Q382" s="4" t="str">
        <f aca="false">IF(N382="UNMATCHED","Unmatched","Matched")</f>
        <v>Matched</v>
      </c>
      <c r="R382" s="4" t="str">
        <f aca="false">IF(OR(E382="No",G382="No",I382="No",L382="YES",Q382="Unmatched"),"NEEDS REVIEW","OK")</f>
        <v>OK</v>
      </c>
    </row>
    <row r="383" customFormat="false" ht="15" hidden="false" customHeight="false" outlineLevel="0" collapsed="false">
      <c r="A383" s="4" t="str">
        <f aca="false">Orders_Raw!A383</f>
        <v>ORD00176</v>
      </c>
      <c r="B383" s="4" t="str">
        <f aca="false">TRIM(UPPER(Orders_Raw!B383))</f>
        <v>CUST0019</v>
      </c>
      <c r="C383" s="4" t="str">
        <f aca="false">PROPER(TRIM(Orders_Raw!C383))</f>
        <v>Ifeoma Chukwu</v>
      </c>
      <c r="D383" s="6" t="n">
        <f aca="false">IFERROR(DATEVALUE(Orders_Raw!D383),"")</f>
        <v>46104</v>
      </c>
      <c r="E383" s="4" t="str">
        <f aca="false">IF(D383="","No","Yes")</f>
        <v>Yes</v>
      </c>
      <c r="F383" s="4" t="n">
        <f aca="false">IFERROR(VALUE(SUBSTITUTE(SUBSTITUTE(SUBSTITUTE(Orders_Raw!G383,"$",""),"NGN",""),",","")),"")</f>
        <v>1500.83</v>
      </c>
      <c r="G383" s="4" t="str">
        <f aca="false">IF(F383="","No","Yes")</f>
        <v>Yes</v>
      </c>
      <c r="H383" s="4" t="str">
        <f aca="false">Orders_Raw!F383</f>
        <v>1</v>
      </c>
      <c r="I383" s="4" t="str">
        <f aca="false">IF(H383="","No",IF(H383&lt;=0,"No","Yes"))</f>
        <v>Yes</v>
      </c>
      <c r="J383" s="4" t="str">
        <f aca="false">Orders_Raw!E383</f>
        <v>Tablet</v>
      </c>
      <c r="K383" s="4" t="str">
        <f aca="false">Orders_Raw!H383</f>
        <v>2026-03-23 11:26</v>
      </c>
      <c r="L383" s="4" t="str">
        <f aca="false">IF(COUNTIF(Orders_Raw!$A$5:$A$539,A383)&gt;1,"YES","No")</f>
        <v>No</v>
      </c>
      <c r="M383" s="4" t="str">
        <f aca="false">IF(COUNTIFS($B$5:$B$539,B383,$D$5:$D$539,D383,$F$5:$F$539,F383)&gt;1,"YES","No")</f>
        <v>No</v>
      </c>
      <c r="N383" s="4" t="str">
        <f aca="false">IFERROR(INDEX(Customer_Master!$B$5:$B$64,MATCH(B383,Customer_Master!$A$5:$A$64,0)),"UNMATCHED")</f>
        <v>Ifeoma Chukwu</v>
      </c>
      <c r="O383" s="4" t="str">
        <f aca="false">IFERROR(INDEX(Customer_Master!$C$5:$C$64,MATCH(B383,Customer_Master!$A$5:$A$64,0)),"UNMATCHED")</f>
        <v>Loyal</v>
      </c>
      <c r="P383" s="4" t="str">
        <f aca="false">IFERROR(INDEX(Customer_Master!$D$5:$D$64,MATCH(B383,Customer_Master!$A$5:$A$64,0)),"UNMATCHED")</f>
        <v>Ibadan</v>
      </c>
      <c r="Q383" s="4" t="str">
        <f aca="false">IF(N383="UNMATCHED","Unmatched","Matched")</f>
        <v>Matched</v>
      </c>
      <c r="R383" s="4" t="str">
        <f aca="false">IF(OR(E383="No",G383="No",I383="No",L383="YES",Q383="Unmatched"),"NEEDS REVIEW","OK")</f>
        <v>OK</v>
      </c>
    </row>
    <row r="384" customFormat="false" ht="15" hidden="false" customHeight="false" outlineLevel="0" collapsed="false">
      <c r="A384" s="4" t="str">
        <f aca="false">Orders_Raw!A384</f>
        <v>ORD00088</v>
      </c>
      <c r="B384" s="4" t="str">
        <f aca="false">TRIM(UPPER(Orders_Raw!B384))</f>
        <v>CUST0029</v>
      </c>
      <c r="C384" s="4" t="str">
        <f aca="false">PROPER(TRIM(Orders_Raw!C384))</f>
        <v>James Uche</v>
      </c>
      <c r="D384" s="6" t="str">
        <f aca="false">IFERROR(DATEVALUE(Orders_Raw!D384),"")</f>
        <v/>
      </c>
      <c r="E384" s="4" t="str">
        <f aca="false">IF(D384="","No","Yes")</f>
        <v>No</v>
      </c>
      <c r="F384" s="4" t="n">
        <f aca="false">IFERROR(VALUE(SUBSTITUTE(SUBSTITUTE(SUBSTITUTE(Orders_Raw!G384,"$",""),"NGN",""),",","")),"")</f>
        <v>1005.84</v>
      </c>
      <c r="G384" s="4" t="str">
        <f aca="false">IF(F384="","No","Yes")</f>
        <v>Yes</v>
      </c>
      <c r="H384" s="4" t="str">
        <f aca="false">Orders_Raw!F384</f>
        <v>2</v>
      </c>
      <c r="I384" s="4" t="str">
        <f aca="false">IF(H384="","No",IF(H384&lt;=0,"No","Yes"))</f>
        <v>Yes</v>
      </c>
      <c r="J384" s="4" t="str">
        <f aca="false">Orders_Raw!E384</f>
        <v>Keyboard</v>
      </c>
      <c r="K384" s="4" t="str">
        <f aca="false">Orders_Raw!H384</f>
        <v>2026-03-28 10:43</v>
      </c>
      <c r="L384" s="4" t="str">
        <f aca="false">IF(COUNTIF(Orders_Raw!$A$5:$A$539,A384)&gt;1,"YES","No")</f>
        <v>No</v>
      </c>
      <c r="M384" s="4" t="str">
        <f aca="false">IF(COUNTIFS($B$5:$B$539,B384,$D$5:$D$539,D384,$F$5:$F$539,F384)&gt;1,"YES","No")</f>
        <v>No</v>
      </c>
      <c r="N384" s="4" t="str">
        <f aca="false">IFERROR(INDEX(Customer_Master!$B$5:$B$64,MATCH(B384,Customer_Master!$A$5:$A$64,0)),"UNMATCHED")</f>
        <v>James Uche</v>
      </c>
      <c r="O384" s="4" t="str">
        <f aca="false">IFERROR(INDEX(Customer_Master!$C$5:$C$64,MATCH(B384,Customer_Master!$A$5:$A$64,0)),"UNMATCHED")</f>
        <v>Lost / Low-Value</v>
      </c>
      <c r="P384" s="4" t="str">
        <f aca="false">IFERROR(INDEX(Customer_Master!$D$5:$D$64,MATCH(B384,Customer_Master!$A$5:$A$64,0)),"UNMATCHED")</f>
        <v>Enugu</v>
      </c>
      <c r="Q384" s="4" t="str">
        <f aca="false">IF(N384="UNMATCHED","Unmatched","Matched")</f>
        <v>Matched</v>
      </c>
      <c r="R384" s="4" t="str">
        <f aca="false">IF(OR(E384="No",G384="No",I384="No",L384="YES",Q384="Unmatched"),"NEEDS REVIEW","OK")</f>
        <v>NEEDS REVIEW</v>
      </c>
    </row>
    <row r="385" customFormat="false" ht="15" hidden="false" customHeight="false" outlineLevel="0" collapsed="false">
      <c r="A385" s="4" t="str">
        <f aca="false">Orders_Raw!A385</f>
        <v>ORD00430</v>
      </c>
      <c r="B385" s="4" t="str">
        <f aca="false">TRIM(UPPER(Orders_Raw!B385))</f>
        <v>CUST0057</v>
      </c>
      <c r="C385" s="4" t="str">
        <f aca="false">PROPER(TRIM(Orders_Raw!C385))</f>
        <v>Bisi Lawal</v>
      </c>
      <c r="D385" s="6" t="n">
        <f aca="false">IFERROR(DATEVALUE(Orders_Raw!D385),"")</f>
        <v>46053</v>
      </c>
      <c r="E385" s="4" t="str">
        <f aca="false">IF(D385="","No","Yes")</f>
        <v>Yes</v>
      </c>
      <c r="F385" s="4" t="n">
        <f aca="false">IFERROR(VALUE(SUBSTITUTE(SUBSTITUTE(SUBSTITUTE(Orders_Raw!G385,"$",""),"NGN",""),",","")),"")</f>
        <v>1872.98</v>
      </c>
      <c r="G385" s="4" t="str">
        <f aca="false">IF(F385="","No","Yes")</f>
        <v>Yes</v>
      </c>
      <c r="H385" s="4" t="str">
        <f aca="false">Orders_Raw!F385</f>
        <v>1</v>
      </c>
      <c r="I385" s="4" t="str">
        <f aca="false">IF(H385="","No",IF(H385&lt;=0,"No","Yes"))</f>
        <v>Yes</v>
      </c>
      <c r="J385" s="4" t="str">
        <f aca="false">Orders_Raw!E385</f>
        <v>Laptop</v>
      </c>
      <c r="K385" s="4" t="str">
        <f aca="false">Orders_Raw!H385</f>
        <v>2026-01-31 12:33</v>
      </c>
      <c r="L385" s="4" t="str">
        <f aca="false">IF(COUNTIF(Orders_Raw!$A$5:$A$539,A385)&gt;1,"YES","No")</f>
        <v>No</v>
      </c>
      <c r="M385" s="4" t="str">
        <f aca="false">IF(COUNTIFS($B$5:$B$539,B385,$D$5:$D$539,D385,$F$5:$F$539,F385)&gt;1,"YES","No")</f>
        <v>No</v>
      </c>
      <c r="N385" s="4" t="str">
        <f aca="false">IFERROR(INDEX(Customer_Master!$B$5:$B$64,MATCH(B385,Customer_Master!$A$5:$A$64,0)),"UNMATCHED")</f>
        <v>Bisi Lawal</v>
      </c>
      <c r="O385" s="4" t="str">
        <f aca="false">IFERROR(INDEX(Customer_Master!$C$5:$C$64,MATCH(B385,Customer_Master!$A$5:$A$64,0)),"UNMATCHED")</f>
        <v>Lost / Low-Value</v>
      </c>
      <c r="P385" s="4" t="str">
        <f aca="false">IFERROR(INDEX(Customer_Master!$D$5:$D$64,MATCH(B385,Customer_Master!$A$5:$A$64,0)),"UNMATCHED")</f>
        <v>Jos</v>
      </c>
      <c r="Q385" s="4" t="str">
        <f aca="false">IF(N385="UNMATCHED","Unmatched","Matched")</f>
        <v>Matched</v>
      </c>
      <c r="R385" s="4" t="str">
        <f aca="false">IF(OR(E385="No",G385="No",I385="No",L385="YES",Q385="Unmatched"),"NEEDS REVIEW","OK")</f>
        <v>OK</v>
      </c>
    </row>
    <row r="386" customFormat="false" ht="15" hidden="false" customHeight="false" outlineLevel="0" collapsed="false">
      <c r="A386" s="4" t="str">
        <f aca="false">Orders_Raw!A386</f>
        <v>ORD00500</v>
      </c>
      <c r="B386" s="4" t="str">
        <f aca="false">TRIM(UPPER(Orders_Raw!B386))</f>
        <v>CUST0038</v>
      </c>
      <c r="C386" s="4" t="str">
        <f aca="false">PROPER(TRIM(Orders_Raw!C386))</f>
        <v>James Sani</v>
      </c>
      <c r="D386" s="6" t="n">
        <f aca="false">IFERROR(DATEVALUE(Orders_Raw!D386),"")</f>
        <v>46117</v>
      </c>
      <c r="E386" s="4" t="str">
        <f aca="false">IF(D386="","No","Yes")</f>
        <v>Yes</v>
      </c>
      <c r="F386" s="4" t="n">
        <f aca="false">IFERROR(VALUE(SUBSTITUTE(SUBSTITUTE(SUBSTITUTE(Orders_Raw!G386,"$",""),"NGN",""),",","")),"")</f>
        <v>664.21</v>
      </c>
      <c r="G386" s="4" t="str">
        <f aca="false">IF(F386="","No","Yes")</f>
        <v>Yes</v>
      </c>
      <c r="H386" s="4" t="str">
        <f aca="false">Orders_Raw!F386</f>
        <v>2</v>
      </c>
      <c r="I386" s="4" t="str">
        <f aca="false">IF(H386="","No",IF(H386&lt;=0,"No","Yes"))</f>
        <v>Yes</v>
      </c>
      <c r="J386" s="4" t="str">
        <f aca="false">Orders_Raw!E386</f>
        <v>Laptop</v>
      </c>
      <c r="K386" s="4" t="str">
        <f aca="false">Orders_Raw!H386</f>
        <v>2026-04-05 13:05</v>
      </c>
      <c r="L386" s="4" t="str">
        <f aca="false">IF(COUNTIF(Orders_Raw!$A$5:$A$539,A386)&gt;1,"YES","No")</f>
        <v>No</v>
      </c>
      <c r="M386" s="4" t="str">
        <f aca="false">IF(COUNTIFS($B$5:$B$539,B386,$D$5:$D$539,D386,$F$5:$F$539,F386)&gt;1,"YES","No")</f>
        <v>No</v>
      </c>
      <c r="N386" s="4" t="str">
        <f aca="false">IFERROR(INDEX(Customer_Master!$B$5:$B$64,MATCH(B386,Customer_Master!$A$5:$A$64,0)),"UNMATCHED")</f>
        <v>James Sani</v>
      </c>
      <c r="O386" s="4" t="str">
        <f aca="false">IFERROR(INDEX(Customer_Master!$C$5:$C$64,MATCH(B386,Customer_Master!$A$5:$A$64,0)),"UNMATCHED")</f>
        <v>New</v>
      </c>
      <c r="P386" s="4" t="str">
        <f aca="false">IFERROR(INDEX(Customer_Master!$D$5:$D$64,MATCH(B386,Customer_Master!$A$5:$A$64,0)),"UNMATCHED")</f>
        <v>Port Harcourt</v>
      </c>
      <c r="Q386" s="4" t="str">
        <f aca="false">IF(N386="UNMATCHED","Unmatched","Matched")</f>
        <v>Matched</v>
      </c>
      <c r="R386" s="4" t="str">
        <f aca="false">IF(OR(E386="No",G386="No",I386="No",L386="YES",Q386="Unmatched"),"NEEDS REVIEW","OK")</f>
        <v>OK</v>
      </c>
    </row>
    <row r="387" customFormat="false" ht="15" hidden="false" customHeight="false" outlineLevel="0" collapsed="false">
      <c r="A387" s="4" t="str">
        <f aca="false">Orders_Raw!A387</f>
        <v>ORD00239</v>
      </c>
      <c r="B387" s="4" t="str">
        <f aca="false">TRIM(UPPER(Orders_Raw!B387))</f>
        <v>CUST0021</v>
      </c>
      <c r="C387" s="4" t="str">
        <f aca="false">PROPER(TRIM(Orders_Raw!C387))</f>
        <v>Mary Okafor</v>
      </c>
      <c r="D387" s="6" t="n">
        <f aca="false">IFERROR(DATEVALUE(Orders_Raw!D387),"")</f>
        <v>46160</v>
      </c>
      <c r="E387" s="4" t="str">
        <f aca="false">IF(D387="","No","Yes")</f>
        <v>Yes</v>
      </c>
      <c r="F387" s="4" t="n">
        <f aca="false">IFERROR(VALUE(SUBSTITUTE(SUBSTITUTE(SUBSTITUTE(Orders_Raw!G387,"$",""),"NGN",""),",","")),"")</f>
        <v>985.97</v>
      </c>
      <c r="G387" s="4" t="str">
        <f aca="false">IF(F387="","No","Yes")</f>
        <v>Yes</v>
      </c>
      <c r="H387" s="4" t="str">
        <f aca="false">Orders_Raw!F387</f>
        <v>2</v>
      </c>
      <c r="I387" s="4" t="str">
        <f aca="false">IF(H387="","No",IF(H387&lt;=0,"No","Yes"))</f>
        <v>Yes</v>
      </c>
      <c r="J387" s="4" t="str">
        <f aca="false">Orders_Raw!E387</f>
        <v>Charger</v>
      </c>
      <c r="K387" s="4" t="str">
        <f aca="false">Orders_Raw!H387</f>
        <v>2026-05-18 08:15</v>
      </c>
      <c r="L387" s="4" t="str">
        <f aca="false">IF(COUNTIF(Orders_Raw!$A$5:$A$539,A387)&gt;1,"YES","No")</f>
        <v>No</v>
      </c>
      <c r="M387" s="4" t="str">
        <f aca="false">IF(COUNTIFS($B$5:$B$539,B387,$D$5:$D$539,D387,$F$5:$F$539,F387)&gt;1,"YES","No")</f>
        <v>No</v>
      </c>
      <c r="N387" s="4" t="str">
        <f aca="false">IFERROR(INDEX(Customer_Master!$B$5:$B$64,MATCH(B387,Customer_Master!$A$5:$A$64,0)),"UNMATCHED")</f>
        <v>Joy Ajayi</v>
      </c>
      <c r="O387" s="4" t="str">
        <f aca="false">IFERROR(INDEX(Customer_Master!$C$5:$C$64,MATCH(B387,Customer_Master!$A$5:$A$64,0)),"UNMATCHED")</f>
        <v>Loyal</v>
      </c>
      <c r="P387" s="4" t="str">
        <f aca="false">IFERROR(INDEX(Customer_Master!$D$5:$D$64,MATCH(B387,Customer_Master!$A$5:$A$64,0)),"UNMATCHED")</f>
        <v>Kaduna</v>
      </c>
      <c r="Q387" s="4" t="str">
        <f aca="false">IF(N387="UNMATCHED","Unmatched","Matched")</f>
        <v>Matched</v>
      </c>
      <c r="R387" s="4" t="str">
        <f aca="false">IF(OR(E387="No",G387="No",I387="No",L387="YES",Q387="Unmatched"),"NEEDS REVIEW","OK")</f>
        <v>OK</v>
      </c>
    </row>
    <row r="388" customFormat="false" ht="15" hidden="false" customHeight="false" outlineLevel="0" collapsed="false">
      <c r="A388" s="4" t="str">
        <f aca="false">Orders_Raw!A388</f>
        <v>ORD00423</v>
      </c>
      <c r="B388" s="4" t="str">
        <f aca="false">TRIM(UPPER(Orders_Raw!B388))</f>
        <v>CUST0007</v>
      </c>
      <c r="C388" s="4" t="str">
        <f aca="false">PROPER(TRIM(Orders_Raw!C388))</f>
        <v>Tunde Okonkwo</v>
      </c>
      <c r="D388" s="6" t="n">
        <f aca="false">IFERROR(DATEVALUE(Orders_Raw!D388),"")</f>
        <v>46057</v>
      </c>
      <c r="E388" s="4" t="str">
        <f aca="false">IF(D388="","No","Yes")</f>
        <v>Yes</v>
      </c>
      <c r="F388" s="4" t="n">
        <f aca="false">IFERROR(VALUE(SUBSTITUTE(SUBSTITUTE(SUBSTITUTE(Orders_Raw!G388,"$",""),"NGN",""),",","")),"")</f>
        <v>1760.84</v>
      </c>
      <c r="G388" s="4" t="str">
        <f aca="false">IF(F388="","No","Yes")</f>
        <v>Yes</v>
      </c>
      <c r="H388" s="4" t="str">
        <f aca="false">Orders_Raw!F388</f>
        <v>1</v>
      </c>
      <c r="I388" s="4" t="str">
        <f aca="false">IF(H388="","No",IF(H388&lt;=0,"No","Yes"))</f>
        <v>Yes</v>
      </c>
      <c r="J388" s="4" t="str">
        <f aca="false">Orders_Raw!E388</f>
        <v>Monitor</v>
      </c>
      <c r="K388" s="4" t="str">
        <f aca="false">Orders_Raw!H388</f>
        <v>2026-04-02 16:21</v>
      </c>
      <c r="L388" s="4" t="str">
        <f aca="false">IF(COUNTIF(Orders_Raw!$A$5:$A$539,A388)&gt;1,"YES","No")</f>
        <v>No</v>
      </c>
      <c r="M388" s="4" t="str">
        <f aca="false">IF(COUNTIFS($B$5:$B$539,B388,$D$5:$D$539,D388,$F$5:$F$539,F388)&gt;1,"YES","No")</f>
        <v>No</v>
      </c>
      <c r="N388" s="4" t="str">
        <f aca="false">IFERROR(INDEX(Customer_Master!$B$5:$B$64,MATCH(B388,Customer_Master!$A$5:$A$64,0)),"UNMATCHED")</f>
        <v>Tunde Okonkwo</v>
      </c>
      <c r="O388" s="4" t="str">
        <f aca="false">IFERROR(INDEX(Customer_Master!$C$5:$C$64,MATCH(B388,Customer_Master!$A$5:$A$64,0)),"UNMATCHED")</f>
        <v>New</v>
      </c>
      <c r="P388" s="4" t="str">
        <f aca="false">IFERROR(INDEX(Customer_Master!$D$5:$D$64,MATCH(B388,Customer_Master!$A$5:$A$64,0)),"UNMATCHED")</f>
        <v>Ibadan</v>
      </c>
      <c r="Q388" s="4" t="str">
        <f aca="false">IF(N388="UNMATCHED","Unmatched","Matched")</f>
        <v>Matched</v>
      </c>
      <c r="R388" s="4" t="str">
        <f aca="false">IF(OR(E388="No",G388="No",I388="No",L388="YES",Q388="Unmatched"),"NEEDS REVIEW","OK")</f>
        <v>OK</v>
      </c>
    </row>
    <row r="389" customFormat="false" ht="15" hidden="false" customHeight="false" outlineLevel="0" collapsed="false">
      <c r="A389" s="4" t="str">
        <f aca="false">Orders_Raw!A389</f>
        <v>ORD00400</v>
      </c>
      <c r="B389" s="4" t="str">
        <f aca="false">TRIM(UPPER(Orders_Raw!B389))</f>
        <v>CUST0056</v>
      </c>
      <c r="C389" s="4" t="str">
        <f aca="false">PROPER(TRIM(Orders_Raw!C389))</f>
        <v>Tunde Yakubu</v>
      </c>
      <c r="D389" s="6" t="str">
        <f aca="false">IFERROR(DATEVALUE(Orders_Raw!D389),"")</f>
        <v/>
      </c>
      <c r="E389" s="4" t="str">
        <f aca="false">IF(D389="","No","Yes")</f>
        <v>No</v>
      </c>
      <c r="F389" s="4" t="n">
        <f aca="false">IFERROR(VALUE(SUBSTITUTE(SUBSTITUTE(SUBSTITUTE(Orders_Raw!G389,"$",""),"NGN",""),",","")),"")</f>
        <v>350.76</v>
      </c>
      <c r="G389" s="4" t="str">
        <f aca="false">IF(F389="","No","Yes")</f>
        <v>Yes</v>
      </c>
      <c r="H389" s="4" t="str">
        <f aca="false">Orders_Raw!F389</f>
        <v>1</v>
      </c>
      <c r="I389" s="4" t="str">
        <f aca="false">IF(H389="","No",IF(H389&lt;=0,"No","Yes"))</f>
        <v>Yes</v>
      </c>
      <c r="J389" s="4" t="str">
        <f aca="false">Orders_Raw!E389</f>
        <v>Speaker</v>
      </c>
      <c r="K389" s="4" t="str">
        <f aca="false">Orders_Raw!H389</f>
        <v>2026-05-21 14:33</v>
      </c>
      <c r="L389" s="4" t="str">
        <f aca="false">IF(COUNTIF(Orders_Raw!$A$5:$A$539,A389)&gt;1,"YES","No")</f>
        <v>No</v>
      </c>
      <c r="M389" s="4" t="str">
        <f aca="false">IF(COUNTIFS($B$5:$B$539,B389,$D$5:$D$539,D389,$F$5:$F$539,F389)&gt;1,"YES","No")</f>
        <v>No</v>
      </c>
      <c r="N389" s="4" t="str">
        <f aca="false">IFERROR(INDEX(Customer_Master!$B$5:$B$64,MATCH(B389,Customer_Master!$A$5:$A$64,0)),"UNMATCHED")</f>
        <v>Tunde Yakubu</v>
      </c>
      <c r="O389" s="4" t="str">
        <f aca="false">IFERROR(INDEX(Customer_Master!$C$5:$C$64,MATCH(B389,Customer_Master!$A$5:$A$64,0)),"UNMATCHED")</f>
        <v>Lost / Low-Value</v>
      </c>
      <c r="P389" s="4" t="str">
        <f aca="false">IFERROR(INDEX(Customer_Master!$D$5:$D$64,MATCH(B389,Customer_Master!$A$5:$A$64,0)),"UNMATCHED")</f>
        <v>Kano</v>
      </c>
      <c r="Q389" s="4" t="str">
        <f aca="false">IF(N389="UNMATCHED","Unmatched","Matched")</f>
        <v>Matched</v>
      </c>
      <c r="R389" s="4" t="str">
        <f aca="false">IF(OR(E389="No",G389="No",I389="No",L389="YES",Q389="Unmatched"),"NEEDS REVIEW","OK")</f>
        <v>NEEDS REVIEW</v>
      </c>
    </row>
    <row r="390" customFormat="false" ht="15" hidden="false" customHeight="false" outlineLevel="0" collapsed="false">
      <c r="A390" s="4" t="str">
        <f aca="false">Orders_Raw!A390</f>
        <v>ORD00144</v>
      </c>
      <c r="B390" s="4" t="str">
        <f aca="false">TRIM(UPPER(Orders_Raw!B390))</f>
        <v>CUST0057</v>
      </c>
      <c r="C390" s="4" t="str">
        <f aca="false">PROPER(TRIM(Orders_Raw!C390))</f>
        <v>Bisi Lawal</v>
      </c>
      <c r="D390" s="6" t="n">
        <f aca="false">IFERROR(DATEVALUE(Orders_Raw!D390),"")</f>
        <v>46096</v>
      </c>
      <c r="E390" s="4" t="str">
        <f aca="false">IF(D390="","No","Yes")</f>
        <v>Yes</v>
      </c>
      <c r="F390" s="4" t="n">
        <f aca="false">IFERROR(VALUE(SUBSTITUTE(SUBSTITUTE(SUBSTITUTE(Orders_Raw!G390,"$",""),"NGN",""),",","")),"")</f>
        <v>35.32</v>
      </c>
      <c r="G390" s="4" t="str">
        <f aca="false">IF(F390="","No","Yes")</f>
        <v>Yes</v>
      </c>
      <c r="H390" s="4" t="str">
        <f aca="false">Orders_Raw!F390</f>
        <v>2</v>
      </c>
      <c r="I390" s="4" t="str">
        <f aca="false">IF(H390="","No",IF(H390&lt;=0,"No","Yes"))</f>
        <v>Yes</v>
      </c>
      <c r="J390" s="4" t="str">
        <f aca="false">Orders_Raw!E390</f>
        <v>Keyboard</v>
      </c>
      <c r="K390" s="4" t="str">
        <f aca="false">Orders_Raw!H390</f>
        <v>2026-03-15 14:23</v>
      </c>
      <c r="L390" s="4" t="str">
        <f aca="false">IF(COUNTIF(Orders_Raw!$A$5:$A$539,A390)&gt;1,"YES","No")</f>
        <v>No</v>
      </c>
      <c r="M390" s="4" t="str">
        <f aca="false">IF(COUNTIFS($B$5:$B$539,B390,$D$5:$D$539,D390,$F$5:$F$539,F390)&gt;1,"YES","No")</f>
        <v>No</v>
      </c>
      <c r="N390" s="4" t="str">
        <f aca="false">IFERROR(INDEX(Customer_Master!$B$5:$B$64,MATCH(B390,Customer_Master!$A$5:$A$64,0)),"UNMATCHED")</f>
        <v>Bisi Lawal</v>
      </c>
      <c r="O390" s="4" t="str">
        <f aca="false">IFERROR(INDEX(Customer_Master!$C$5:$C$64,MATCH(B390,Customer_Master!$A$5:$A$64,0)),"UNMATCHED")</f>
        <v>Lost / Low-Value</v>
      </c>
      <c r="P390" s="4" t="str">
        <f aca="false">IFERROR(INDEX(Customer_Master!$D$5:$D$64,MATCH(B390,Customer_Master!$A$5:$A$64,0)),"UNMATCHED")</f>
        <v>Jos</v>
      </c>
      <c r="Q390" s="4" t="str">
        <f aca="false">IF(N390="UNMATCHED","Unmatched","Matched")</f>
        <v>Matched</v>
      </c>
      <c r="R390" s="4" t="str">
        <f aca="false">IF(OR(E390="No",G390="No",I390="No",L390="YES",Q390="Unmatched"),"NEEDS REVIEW","OK")</f>
        <v>OK</v>
      </c>
    </row>
    <row r="391" customFormat="false" ht="15" hidden="false" customHeight="false" outlineLevel="0" collapsed="false">
      <c r="A391" s="4" t="str">
        <f aca="false">Orders_Raw!A391</f>
        <v>ORD00031</v>
      </c>
      <c r="B391" s="4" t="str">
        <f aca="false">TRIM(UPPER(Orders_Raw!B391))</f>
        <v>CUST0043</v>
      </c>
      <c r="C391" s="4" t="str">
        <f aca="false">PROPER(TRIM(Orders_Raw!C391))</f>
        <v>Grace Ajayi</v>
      </c>
      <c r="D391" s="6" t="n">
        <f aca="false">IFERROR(DATEVALUE(Orders_Raw!D391),"")</f>
        <v>46208</v>
      </c>
      <c r="E391" s="4" t="str">
        <f aca="false">IF(D391="","No","Yes")</f>
        <v>Yes</v>
      </c>
      <c r="F391" s="4" t="n">
        <f aca="false">IFERROR(VALUE(SUBSTITUTE(SUBSTITUTE(SUBSTITUTE(Orders_Raw!G391,"$",""),"NGN",""),",","")),"")</f>
        <v>2103.66</v>
      </c>
      <c r="G391" s="4" t="str">
        <f aca="false">IF(F391="","No","Yes")</f>
        <v>Yes</v>
      </c>
      <c r="H391" s="4" t="str">
        <f aca="false">Orders_Raw!F391</f>
        <v>3</v>
      </c>
      <c r="I391" s="4" t="str">
        <f aca="false">IF(H391="","No",IF(H391&lt;=0,"No","Yes"))</f>
        <v>Yes</v>
      </c>
      <c r="J391" s="4" t="str">
        <f aca="false">Orders_Raw!E391</f>
        <v>Speaker</v>
      </c>
      <c r="K391" s="4" t="str">
        <f aca="false">Orders_Raw!H391</f>
        <v>2026-07-05 17:42</v>
      </c>
      <c r="L391" s="4" t="str">
        <f aca="false">IF(COUNTIF(Orders_Raw!$A$5:$A$539,A391)&gt;1,"YES","No")</f>
        <v>No</v>
      </c>
      <c r="M391" s="4" t="str">
        <f aca="false">IF(COUNTIFS($B$5:$B$539,B391,$D$5:$D$539,D391,$F$5:$F$539,F391)&gt;1,"YES","No")</f>
        <v>No</v>
      </c>
      <c r="N391" s="4" t="str">
        <f aca="false">IFERROR(INDEX(Customer_Master!$B$5:$B$64,MATCH(B391,Customer_Master!$A$5:$A$64,0)),"UNMATCHED")</f>
        <v>Grace Ajayi</v>
      </c>
      <c r="O391" s="4" t="str">
        <f aca="false">IFERROR(INDEX(Customer_Master!$C$5:$C$64,MATCH(B391,Customer_Master!$A$5:$A$64,0)),"UNMATCHED")</f>
        <v>New</v>
      </c>
      <c r="P391" s="4" t="str">
        <f aca="false">IFERROR(INDEX(Customer_Master!$D$5:$D$64,MATCH(B391,Customer_Master!$A$5:$A$64,0)),"UNMATCHED")</f>
        <v>Abuja</v>
      </c>
      <c r="Q391" s="4" t="str">
        <f aca="false">IF(N391="UNMATCHED","Unmatched","Matched")</f>
        <v>Matched</v>
      </c>
      <c r="R391" s="4" t="str">
        <f aca="false">IF(OR(E391="No",G391="No",I391="No",L391="YES",Q391="Unmatched"),"NEEDS REVIEW","OK")</f>
        <v>OK</v>
      </c>
    </row>
    <row r="392" customFormat="false" ht="15" hidden="false" customHeight="false" outlineLevel="0" collapsed="false">
      <c r="A392" s="4" t="str">
        <f aca="false">Orders_Raw!A392</f>
        <v>ORD00292</v>
      </c>
      <c r="B392" s="4" t="str">
        <f aca="false">TRIM(UPPER(Orders_Raw!B392))</f>
        <v>CUST0017</v>
      </c>
      <c r="C392" s="4" t="str">
        <f aca="false">PROPER(TRIM(Orders_Raw!C392))</f>
        <v>Ibrahim Ajayi</v>
      </c>
      <c r="D392" s="6" t="n">
        <f aca="false">IFERROR(DATEVALUE(Orders_Raw!D392),"")</f>
        <v>46205</v>
      </c>
      <c r="E392" s="4" t="str">
        <f aca="false">IF(D392="","No","Yes")</f>
        <v>Yes</v>
      </c>
      <c r="F392" s="4" t="n">
        <f aca="false">IFERROR(VALUE(SUBSTITUTE(SUBSTITUTE(SUBSTITUTE(Orders_Raw!G392,"$",""),"NGN",""),",","")),"")</f>
        <v>1068.16</v>
      </c>
      <c r="G392" s="4" t="str">
        <f aca="false">IF(F392="","No","Yes")</f>
        <v>Yes</v>
      </c>
      <c r="H392" s="4" t="str">
        <f aca="false">Orders_Raw!F392</f>
        <v>5</v>
      </c>
      <c r="I392" s="4" t="str">
        <f aca="false">IF(H392="","No",IF(H392&lt;=0,"No","Yes"))</f>
        <v>Yes</v>
      </c>
      <c r="J392" s="4" t="str">
        <f aca="false">Orders_Raw!E392</f>
        <v>Printer</v>
      </c>
      <c r="K392" s="4" t="str">
        <f aca="false">Orders_Raw!H392</f>
        <v>2026-07-02 12:43</v>
      </c>
      <c r="L392" s="4" t="str">
        <f aca="false">IF(COUNTIF(Orders_Raw!$A$5:$A$539,A392)&gt;1,"YES","No")</f>
        <v>No</v>
      </c>
      <c r="M392" s="4" t="str">
        <f aca="false">IF(COUNTIFS($B$5:$B$539,B392,$D$5:$D$539,D392,$F$5:$F$539,F392)&gt;1,"YES","No")</f>
        <v>No</v>
      </c>
      <c r="N392" s="4" t="str">
        <f aca="false">IFERROR(INDEX(Customer_Master!$B$5:$B$64,MATCH(B392,Customer_Master!$A$5:$A$64,0)),"UNMATCHED")</f>
        <v>Ibrahim Ajayi</v>
      </c>
      <c r="O392" s="4" t="str">
        <f aca="false">IFERROR(INDEX(Customer_Master!$C$5:$C$64,MATCH(B392,Customer_Master!$A$5:$A$64,0)),"UNMATCHED")</f>
        <v>Champions</v>
      </c>
      <c r="P392" s="4" t="str">
        <f aca="false">IFERROR(INDEX(Customer_Master!$D$5:$D$64,MATCH(B392,Customer_Master!$A$5:$A$64,0)),"UNMATCHED")</f>
        <v>Enugu</v>
      </c>
      <c r="Q392" s="4" t="str">
        <f aca="false">IF(N392="UNMATCHED","Unmatched","Matched")</f>
        <v>Matched</v>
      </c>
      <c r="R392" s="4" t="str">
        <f aca="false">IF(OR(E392="No",G392="No",I392="No",L392="YES",Q392="Unmatched"),"NEEDS REVIEW","OK")</f>
        <v>OK</v>
      </c>
    </row>
    <row r="393" customFormat="false" ht="15" hidden="false" customHeight="false" outlineLevel="0" collapsed="false">
      <c r="A393" s="4" t="str">
        <f aca="false">Orders_Raw!A393</f>
        <v>ORD00510</v>
      </c>
      <c r="B393" s="4" t="str">
        <f aca="false">TRIM(UPPER(Orders_Raw!B393))</f>
        <v>CUST0017</v>
      </c>
      <c r="C393" s="4" t="str">
        <f aca="false">PROPER(TRIM(Orders_Raw!C393))</f>
        <v>Ibrahim Ajayi</v>
      </c>
      <c r="D393" s="6" t="n">
        <f aca="false">IFERROR(DATEVALUE(Orders_Raw!D393),"")</f>
        <v>46148</v>
      </c>
      <c r="E393" s="4" t="str">
        <f aca="false">IF(D393="","No","Yes")</f>
        <v>Yes</v>
      </c>
      <c r="F393" s="4" t="n">
        <f aca="false">IFERROR(VALUE(SUBSTITUTE(SUBSTITUTE(SUBSTITUTE(Orders_Raw!G393,"$",""),"NGN",""),",","")),"")</f>
        <v>1531.6</v>
      </c>
      <c r="G393" s="4" t="str">
        <f aca="false">IF(F393="","No","Yes")</f>
        <v>Yes</v>
      </c>
      <c r="H393" s="4" t="str">
        <f aca="false">Orders_Raw!F393</f>
        <v>4</v>
      </c>
      <c r="I393" s="4" t="str">
        <f aca="false">IF(H393="","No",IF(H393&lt;=0,"No","Yes"))</f>
        <v>Yes</v>
      </c>
      <c r="J393" s="4" t="str">
        <f aca="false">Orders_Raw!E393</f>
        <v>Monitor</v>
      </c>
      <c r="K393" s="4" t="str">
        <f aca="false">Orders_Raw!H393</f>
        <v>2026-05-06 11:39</v>
      </c>
      <c r="L393" s="4" t="str">
        <f aca="false">IF(COUNTIF(Orders_Raw!$A$5:$A$539,A393)&gt;1,"YES","No")</f>
        <v>No</v>
      </c>
      <c r="M393" s="4" t="str">
        <f aca="false">IF(COUNTIFS($B$5:$B$539,B393,$D$5:$D$539,D393,$F$5:$F$539,F393)&gt;1,"YES","No")</f>
        <v>No</v>
      </c>
      <c r="N393" s="4" t="str">
        <f aca="false">IFERROR(INDEX(Customer_Master!$B$5:$B$64,MATCH(B393,Customer_Master!$A$5:$A$64,0)),"UNMATCHED")</f>
        <v>Ibrahim Ajayi</v>
      </c>
      <c r="O393" s="4" t="str">
        <f aca="false">IFERROR(INDEX(Customer_Master!$C$5:$C$64,MATCH(B393,Customer_Master!$A$5:$A$64,0)),"UNMATCHED")</f>
        <v>Champions</v>
      </c>
      <c r="P393" s="4" t="str">
        <f aca="false">IFERROR(INDEX(Customer_Master!$D$5:$D$64,MATCH(B393,Customer_Master!$A$5:$A$64,0)),"UNMATCHED")</f>
        <v>Enugu</v>
      </c>
      <c r="Q393" s="4" t="str">
        <f aca="false">IF(N393="UNMATCHED","Unmatched","Matched")</f>
        <v>Matched</v>
      </c>
      <c r="R393" s="4" t="str">
        <f aca="false">IF(OR(E393="No",G393="No",I393="No",L393="YES",Q393="Unmatched"),"NEEDS REVIEW","OK")</f>
        <v>OK</v>
      </c>
    </row>
    <row r="394" customFormat="false" ht="15" hidden="false" customHeight="false" outlineLevel="0" collapsed="false">
      <c r="A394" s="4" t="str">
        <f aca="false">Orders_Raw!A394</f>
        <v>ORD00281</v>
      </c>
      <c r="B394" s="4" t="str">
        <f aca="false">TRIM(UPPER(Orders_Raw!B394))</f>
        <v>CUST0041</v>
      </c>
      <c r="C394" s="4" t="str">
        <f aca="false">PROPER(TRIM(Orders_Raw!C394))</f>
        <v>Kemi Umeh</v>
      </c>
      <c r="D394" s="6" t="n">
        <f aca="false">IFERROR(DATEVALUE(Orders_Raw!D394),"")</f>
        <v>46089</v>
      </c>
      <c r="E394" s="4" t="str">
        <f aca="false">IF(D394="","No","Yes")</f>
        <v>Yes</v>
      </c>
      <c r="F394" s="4" t="n">
        <f aca="false">IFERROR(VALUE(SUBSTITUTE(SUBSTITUTE(SUBSTITUTE(Orders_Raw!G394,"$",""),"NGN",""),",","")),"")</f>
        <v>2278.35</v>
      </c>
      <c r="G394" s="4" t="str">
        <f aca="false">IF(F394="","No","Yes")</f>
        <v>Yes</v>
      </c>
      <c r="H394" s="4" t="str">
        <f aca="false">Orders_Raw!F394</f>
        <v>1</v>
      </c>
      <c r="I394" s="4" t="str">
        <f aca="false">IF(H394="","No",IF(H394&lt;=0,"No","Yes"))</f>
        <v>Yes</v>
      </c>
      <c r="J394" s="4" t="str">
        <f aca="false">Orders_Raw!E394</f>
        <v>Keyboard</v>
      </c>
      <c r="K394" s="4" t="str">
        <f aca="false">Orders_Raw!H394</f>
        <v>2026-03-08 12:33</v>
      </c>
      <c r="L394" s="4" t="str">
        <f aca="false">IF(COUNTIF(Orders_Raw!$A$5:$A$539,A394)&gt;1,"YES","No")</f>
        <v>YES</v>
      </c>
      <c r="M394" s="4" t="str">
        <f aca="false">IF(COUNTIFS($B$5:$B$539,B394,$D$5:$D$539,D394,$F$5:$F$539,F394)&gt;1,"YES","No")</f>
        <v>YES</v>
      </c>
      <c r="N394" s="4" t="str">
        <f aca="false">IFERROR(INDEX(Customer_Master!$B$5:$B$64,MATCH(B394,Customer_Master!$A$5:$A$64,0)),"UNMATCHED")</f>
        <v>Kemi Umeh</v>
      </c>
      <c r="O394" s="4" t="str">
        <f aca="false">IFERROR(INDEX(Customer_Master!$C$5:$C$64,MATCH(B394,Customer_Master!$A$5:$A$64,0)),"UNMATCHED")</f>
        <v>Lost / Low-Value</v>
      </c>
      <c r="P394" s="4" t="str">
        <f aca="false">IFERROR(INDEX(Customer_Master!$D$5:$D$64,MATCH(B394,Customer_Master!$A$5:$A$64,0)),"UNMATCHED")</f>
        <v>Lagos</v>
      </c>
      <c r="Q394" s="4" t="str">
        <f aca="false">IF(N394="UNMATCHED","Unmatched","Matched")</f>
        <v>Matched</v>
      </c>
      <c r="R394" s="4" t="str">
        <f aca="false">IF(OR(E394="No",G394="No",I394="No",L394="YES",Q394="Unmatched"),"NEEDS REVIEW","OK")</f>
        <v>NEEDS REVIEW</v>
      </c>
    </row>
    <row r="395" customFormat="false" ht="15" hidden="false" customHeight="false" outlineLevel="0" collapsed="false">
      <c r="A395" s="4" t="str">
        <f aca="false">Orders_Raw!A395</f>
        <v>ORD00066</v>
      </c>
      <c r="B395" s="4" t="str">
        <f aca="false">TRIM(UPPER(Orders_Raw!B395))</f>
        <v>CUST0005</v>
      </c>
      <c r="C395" s="4" t="str">
        <f aca="false">PROPER(TRIM(Orders_Raw!C395))</f>
        <v>Tunde Nnamdi</v>
      </c>
      <c r="D395" s="6" t="str">
        <f aca="false">IFERROR(DATEVALUE(Orders_Raw!D395),"")</f>
        <v/>
      </c>
      <c r="E395" s="4" t="str">
        <f aca="false">IF(D395="","No","Yes")</f>
        <v>No</v>
      </c>
      <c r="F395" s="4" t="n">
        <f aca="false">IFERROR(VALUE(SUBSTITUTE(SUBSTITUTE(SUBSTITUTE(Orders_Raw!G395,"$",""),"NGN",""),",","")),"")</f>
        <v>1093.42</v>
      </c>
      <c r="G395" s="4" t="str">
        <f aca="false">IF(F395="","No","Yes")</f>
        <v>Yes</v>
      </c>
      <c r="H395" s="4" t="str">
        <f aca="false">Orders_Raw!F395</f>
        <v>5</v>
      </c>
      <c r="I395" s="4" t="str">
        <f aca="false">IF(H395="","No",IF(H395&lt;=0,"No","Yes"))</f>
        <v>Yes</v>
      </c>
      <c r="J395" s="4" t="str">
        <f aca="false">Orders_Raw!E395</f>
        <v>Printer</v>
      </c>
      <c r="K395" s="4" t="str">
        <f aca="false">Orders_Raw!H395</f>
        <v>2026-02-28 10:44</v>
      </c>
      <c r="L395" s="4" t="str">
        <f aca="false">IF(COUNTIF(Orders_Raw!$A$5:$A$539,A395)&gt;1,"YES","No")</f>
        <v>No</v>
      </c>
      <c r="M395" s="4" t="str">
        <f aca="false">IF(COUNTIFS($B$5:$B$539,B395,$D$5:$D$539,D395,$F$5:$F$539,F395)&gt;1,"YES","No")</f>
        <v>No</v>
      </c>
      <c r="N395" s="4" t="str">
        <f aca="false">IFERROR(INDEX(Customer_Master!$B$5:$B$64,MATCH(B395,Customer_Master!$A$5:$A$64,0)),"UNMATCHED")</f>
        <v>Tunde Nnamdi</v>
      </c>
      <c r="O395" s="4" t="str">
        <f aca="false">IFERROR(INDEX(Customer_Master!$C$5:$C$64,MATCH(B395,Customer_Master!$A$5:$A$64,0)),"UNMATCHED")</f>
        <v>New</v>
      </c>
      <c r="P395" s="4" t="str">
        <f aca="false">IFERROR(INDEX(Customer_Master!$D$5:$D$64,MATCH(B395,Customer_Master!$A$5:$A$64,0)),"UNMATCHED")</f>
        <v>Lagos</v>
      </c>
      <c r="Q395" s="4" t="str">
        <f aca="false">IF(N395="UNMATCHED","Unmatched","Matched")</f>
        <v>Matched</v>
      </c>
      <c r="R395" s="4" t="str">
        <f aca="false">IF(OR(E395="No",G395="No",I395="No",L395="YES",Q395="Unmatched"),"NEEDS REVIEW","OK")</f>
        <v>NEEDS REVIEW</v>
      </c>
    </row>
    <row r="396" customFormat="false" ht="15" hidden="false" customHeight="false" outlineLevel="0" collapsed="false">
      <c r="A396" s="4" t="str">
        <f aca="false">Orders_Raw!A396</f>
        <v>ORD00454</v>
      </c>
      <c r="B396" s="4" t="str">
        <f aca="false">TRIM(UPPER(Orders_Raw!B396))</f>
        <v>CUST0011</v>
      </c>
      <c r="C396" s="4" t="str">
        <f aca="false">PROPER(TRIM(Orders_Raw!C396))</f>
        <v>Musa Lawal</v>
      </c>
      <c r="D396" s="6" t="n">
        <f aca="false">IFERROR(DATEVALUE(Orders_Raw!D396),"")</f>
        <v>46036</v>
      </c>
      <c r="E396" s="4" t="str">
        <f aca="false">IF(D396="","No","Yes")</f>
        <v>Yes</v>
      </c>
      <c r="F396" s="4" t="n">
        <f aca="false">IFERROR(VALUE(SUBSTITUTE(SUBSTITUTE(SUBSTITUTE(Orders_Raw!G396,"$",""),"NGN",""),",","")),"")</f>
        <v>2260.63</v>
      </c>
      <c r="G396" s="4" t="str">
        <f aca="false">IF(F396="","No","Yes")</f>
        <v>Yes</v>
      </c>
      <c r="H396" s="4" t="str">
        <f aca="false">Orders_Raw!F396</f>
        <v>5</v>
      </c>
      <c r="I396" s="4" t="str">
        <f aca="false">IF(H396="","No",IF(H396&lt;=0,"No","Yes"))</f>
        <v>Yes</v>
      </c>
      <c r="J396" s="4" t="str">
        <f aca="false">Orders_Raw!E396</f>
        <v>Tablet</v>
      </c>
      <c r="K396" s="4" t="str">
        <f aca="false">Orders_Raw!H396</f>
        <v>2026-01-14 09:11</v>
      </c>
      <c r="L396" s="4" t="str">
        <f aca="false">IF(COUNTIF(Orders_Raw!$A$5:$A$539,A396)&gt;1,"YES","No")</f>
        <v>No</v>
      </c>
      <c r="M396" s="4" t="str">
        <f aca="false">IF(COUNTIFS($B$5:$B$539,B396,$D$5:$D$539,D396,$F$5:$F$539,F396)&gt;1,"YES","No")</f>
        <v>No</v>
      </c>
      <c r="N396" s="4" t="str">
        <f aca="false">IFERROR(INDEX(Customer_Master!$B$5:$B$64,MATCH(B396,Customer_Master!$A$5:$A$64,0)),"UNMATCHED")</f>
        <v>Musa Lawal</v>
      </c>
      <c r="O396" s="4" t="str">
        <f aca="false">IFERROR(INDEX(Customer_Master!$C$5:$C$64,MATCH(B396,Customer_Master!$A$5:$A$64,0)),"UNMATCHED")</f>
        <v>At Risk</v>
      </c>
      <c r="P396" s="4" t="str">
        <f aca="false">IFERROR(INDEX(Customer_Master!$D$5:$D$64,MATCH(B396,Customer_Master!$A$5:$A$64,0)),"UNMATCHED")</f>
        <v>Jos</v>
      </c>
      <c r="Q396" s="4" t="str">
        <f aca="false">IF(N396="UNMATCHED","Unmatched","Matched")</f>
        <v>Matched</v>
      </c>
      <c r="R396" s="4" t="str">
        <f aca="false">IF(OR(E396="No",G396="No",I396="No",L396="YES",Q396="Unmatched"),"NEEDS REVIEW","OK")</f>
        <v>OK</v>
      </c>
    </row>
    <row r="397" customFormat="false" ht="15" hidden="false" customHeight="false" outlineLevel="0" collapsed="false">
      <c r="A397" s="4" t="str">
        <f aca="false">Orders_Raw!A397</f>
        <v>ORD00104</v>
      </c>
      <c r="B397" s="4" t="str">
        <f aca="false">TRIM(UPPER(Orders_Raw!B397))</f>
        <v>CUSTO019</v>
      </c>
      <c r="C397" s="4" t="str">
        <f aca="false">PROPER(TRIM(Orders_Raw!C397))</f>
        <v>Ifeoma Chukwu</v>
      </c>
      <c r="D397" s="6" t="n">
        <f aca="false">IFERROR(DATEVALUE(Orders_Raw!D397),"")</f>
        <v>46175</v>
      </c>
      <c r="E397" s="4" t="str">
        <f aca="false">IF(D397="","No","Yes")</f>
        <v>Yes</v>
      </c>
      <c r="F397" s="4" t="n">
        <f aca="false">IFERROR(VALUE(SUBSTITUTE(SUBSTITUTE(SUBSTITUTE(Orders_Raw!G397,"$",""),"NGN",""),",","")),"")</f>
        <v>970.44</v>
      </c>
      <c r="G397" s="4" t="str">
        <f aca="false">IF(F397="","No","Yes")</f>
        <v>Yes</v>
      </c>
      <c r="H397" s="4" t="str">
        <f aca="false">Orders_Raw!F397</f>
        <v>3</v>
      </c>
      <c r="I397" s="4" t="str">
        <f aca="false">IF(H397="","No",IF(H397&lt;=0,"No","Yes"))</f>
        <v>Yes</v>
      </c>
      <c r="J397" s="4" t="str">
        <f aca="false">Orders_Raw!E397</f>
        <v>Laptop</v>
      </c>
      <c r="K397" s="4" t="str">
        <f aca="false">Orders_Raw!H397</f>
        <v>2026-06-02 15:58</v>
      </c>
      <c r="L397" s="4" t="str">
        <f aca="false">IF(COUNTIF(Orders_Raw!$A$5:$A$539,A397)&gt;1,"YES","No")</f>
        <v>No</v>
      </c>
      <c r="M397" s="4" t="str">
        <f aca="false">IF(COUNTIFS($B$5:$B$539,B397,$D$5:$D$539,D397,$F$5:$F$539,F397)&gt;1,"YES","No")</f>
        <v>No</v>
      </c>
      <c r="N397" s="4" t="str">
        <f aca="false">IFERROR(INDEX(Customer_Master!$B$5:$B$64,MATCH(B397,Customer_Master!$A$5:$A$64,0)),"UNMATCHED")</f>
        <v>UNMATCHED</v>
      </c>
      <c r="O397" s="4" t="str">
        <f aca="false">IFERROR(INDEX(Customer_Master!$C$5:$C$64,MATCH(B397,Customer_Master!$A$5:$A$64,0)),"UNMATCHED")</f>
        <v>UNMATCHED</v>
      </c>
      <c r="P397" s="4" t="str">
        <f aca="false">IFERROR(INDEX(Customer_Master!$D$5:$D$64,MATCH(B397,Customer_Master!$A$5:$A$64,0)),"UNMATCHED")</f>
        <v>UNMATCHED</v>
      </c>
      <c r="Q397" s="4" t="str">
        <f aca="false">IF(N397="UNMATCHED","Unmatched","Matched")</f>
        <v>Unmatched</v>
      </c>
      <c r="R397" s="4" t="str">
        <f aca="false">IF(OR(E397="No",G397="No",I397="No",L397="YES",Q397="Unmatched"),"NEEDS REVIEW","OK")</f>
        <v>NEEDS REVIEW</v>
      </c>
    </row>
    <row r="398" customFormat="false" ht="15" hidden="false" customHeight="false" outlineLevel="0" collapsed="false">
      <c r="A398" s="4" t="str">
        <f aca="false">Orders_Raw!A398</f>
        <v>ORD00139</v>
      </c>
      <c r="B398" s="4" t="str">
        <f aca="false">TRIM(UPPER(Orders_Raw!B398))</f>
        <v>CUST0002</v>
      </c>
      <c r="C398" s="4" t="str">
        <f aca="false">PROPER(TRIM(Orders_Raw!C398))</f>
        <v>Tunde Ajayi</v>
      </c>
      <c r="D398" s="6" t="n">
        <f aca="false">IFERROR(DATEVALUE(Orders_Raw!D398),"")</f>
        <v>46097</v>
      </c>
      <c r="E398" s="4" t="str">
        <f aca="false">IF(D398="","No","Yes")</f>
        <v>Yes</v>
      </c>
      <c r="F398" s="4" t="n">
        <f aca="false">IFERROR(VALUE(SUBSTITUTE(SUBSTITUTE(SUBSTITUTE(Orders_Raw!G398,"$",""),"NGN",""),",","")),"")</f>
        <v>1215.12</v>
      </c>
      <c r="G398" s="4" t="str">
        <f aca="false">IF(F398="","No","Yes")</f>
        <v>Yes</v>
      </c>
      <c r="H398" s="4" t="str">
        <f aca="false">Orders_Raw!F398</f>
        <v>2</v>
      </c>
      <c r="I398" s="4" t="str">
        <f aca="false">IF(H398="","No",IF(H398&lt;=0,"No","Yes"))</f>
        <v>Yes</v>
      </c>
      <c r="J398" s="4" t="str">
        <f aca="false">Orders_Raw!E398</f>
        <v>Headphones</v>
      </c>
      <c r="K398" s="4" t="str">
        <f aca="false">Orders_Raw!H398</f>
        <v>2026-03-16 15:26</v>
      </c>
      <c r="L398" s="4" t="str">
        <f aca="false">IF(COUNTIF(Orders_Raw!$A$5:$A$539,A398)&gt;1,"YES","No")</f>
        <v>No</v>
      </c>
      <c r="M398" s="4" t="str">
        <f aca="false">IF(COUNTIFS($B$5:$B$539,B398,$D$5:$D$539,D398,$F$5:$F$539,F398)&gt;1,"YES","No")</f>
        <v>No</v>
      </c>
      <c r="N398" s="4" t="str">
        <f aca="false">IFERROR(INDEX(Customer_Master!$B$5:$B$64,MATCH(B398,Customer_Master!$A$5:$A$64,0)),"UNMATCHED")</f>
        <v>Tunde Ajayi</v>
      </c>
      <c r="O398" s="4" t="str">
        <f aca="false">IFERROR(INDEX(Customer_Master!$C$5:$C$64,MATCH(B398,Customer_Master!$A$5:$A$64,0)),"UNMATCHED")</f>
        <v>Loyal</v>
      </c>
      <c r="P398" s="4" t="str">
        <f aca="false">IFERROR(INDEX(Customer_Master!$D$5:$D$64,MATCH(B398,Customer_Master!$A$5:$A$64,0)),"UNMATCHED")</f>
        <v>Abuja</v>
      </c>
      <c r="Q398" s="4" t="str">
        <f aca="false">IF(N398="UNMATCHED","Unmatched","Matched")</f>
        <v>Matched</v>
      </c>
      <c r="R398" s="4" t="str">
        <f aca="false">IF(OR(E398="No",G398="No",I398="No",L398="YES",Q398="Unmatched"),"NEEDS REVIEW","OK")</f>
        <v>OK</v>
      </c>
    </row>
    <row r="399" customFormat="false" ht="15" hidden="false" customHeight="false" outlineLevel="0" collapsed="false">
      <c r="A399" s="4" t="str">
        <f aca="false">Orders_Raw!A399</f>
        <v>ORD00047</v>
      </c>
      <c r="B399" s="4" t="str">
        <f aca="false">TRIM(UPPER(Orders_Raw!B399))</f>
        <v>CUST0045</v>
      </c>
      <c r="C399" s="4" t="str">
        <f aca="false">PROPER(TRIM(Orders_Raw!C399))</f>
        <v>Emeka Yakubu</v>
      </c>
      <c r="D399" s="6" t="str">
        <f aca="false">IFERROR(DATEVALUE(Orders_Raw!D399),"")</f>
        <v/>
      </c>
      <c r="E399" s="4" t="str">
        <f aca="false">IF(D399="","No","Yes")</f>
        <v>No</v>
      </c>
      <c r="F399" s="4" t="n">
        <f aca="false">IFERROR(VALUE(SUBSTITUTE(SUBSTITUTE(SUBSTITUTE(Orders_Raw!G399,"$",""),"NGN",""),",","")),"")</f>
        <v>2484.89</v>
      </c>
      <c r="G399" s="4" t="str">
        <f aca="false">IF(F399="","No","Yes")</f>
        <v>Yes</v>
      </c>
      <c r="H399" s="4" t="str">
        <f aca="false">Orders_Raw!F399</f>
        <v>3</v>
      </c>
      <c r="I399" s="4" t="str">
        <f aca="false">IF(H399="","No",IF(H399&lt;=0,"No","Yes"))</f>
        <v>Yes</v>
      </c>
      <c r="J399" s="4" t="str">
        <f aca="false">Orders_Raw!E399</f>
        <v>Speaker</v>
      </c>
      <c r="K399" s="4" t="str">
        <f aca="false">Orders_Raw!H399</f>
        <v>2026-03-19 11:49</v>
      </c>
      <c r="L399" s="4" t="str">
        <f aca="false">IF(COUNTIF(Orders_Raw!$A$5:$A$539,A399)&gt;1,"YES","No")</f>
        <v>YES</v>
      </c>
      <c r="M399" s="4" t="str">
        <f aca="false">IF(COUNTIFS($B$5:$B$539,B399,$D$5:$D$539,D399,$F$5:$F$539,F399)&gt;1,"YES","No")</f>
        <v>YES</v>
      </c>
      <c r="N399" s="4" t="str">
        <f aca="false">IFERROR(INDEX(Customer_Master!$B$5:$B$64,MATCH(B399,Customer_Master!$A$5:$A$64,0)),"UNMATCHED")</f>
        <v>Yusuf Yakubu</v>
      </c>
      <c r="O399" s="4" t="str">
        <f aca="false">IFERROR(INDEX(Customer_Master!$C$5:$C$64,MATCH(B399,Customer_Master!$A$5:$A$64,0)),"UNMATCHED")</f>
        <v>New</v>
      </c>
      <c r="P399" s="4" t="str">
        <f aca="false">IFERROR(INDEX(Customer_Master!$D$5:$D$64,MATCH(B399,Customer_Master!$A$5:$A$64,0)),"UNMATCHED")</f>
        <v>Port Harcourt</v>
      </c>
      <c r="Q399" s="4" t="str">
        <f aca="false">IF(N399="UNMATCHED","Unmatched","Matched")</f>
        <v>Matched</v>
      </c>
      <c r="R399" s="4" t="str">
        <f aca="false">IF(OR(E399="No",G399="No",I399="No",L399="YES",Q399="Unmatched"),"NEEDS REVIEW","OK")</f>
        <v>NEEDS REVIEW</v>
      </c>
    </row>
    <row r="400" customFormat="false" ht="15" hidden="false" customHeight="false" outlineLevel="0" collapsed="false">
      <c r="A400" s="4" t="str">
        <f aca="false">Orders_Raw!A400</f>
        <v>ORD00324</v>
      </c>
      <c r="B400" s="4" t="str">
        <f aca="false">TRIM(UPPER(Orders_Raw!B400))</f>
        <v>CUST0022</v>
      </c>
      <c r="C400" s="4" t="str">
        <f aca="false">PROPER(TRIM(Orders_Raw!C400))</f>
        <v>Musa Sani</v>
      </c>
      <c r="D400" s="6" t="n">
        <f aca="false">IFERROR(DATEVALUE(Orders_Raw!D400),"")</f>
        <v>46185</v>
      </c>
      <c r="E400" s="4" t="str">
        <f aca="false">IF(D400="","No","Yes")</f>
        <v>Yes</v>
      </c>
      <c r="F400" s="4" t="n">
        <f aca="false">IFERROR(VALUE(SUBSTITUTE(SUBSTITUTE(SUBSTITUTE(Orders_Raw!G400,"$",""),"NGN",""),",","")),"")</f>
        <v>321.2</v>
      </c>
      <c r="G400" s="4" t="str">
        <f aca="false">IF(F400="","No","Yes")</f>
        <v>Yes</v>
      </c>
      <c r="H400" s="4" t="str">
        <f aca="false">Orders_Raw!F400</f>
        <v>2</v>
      </c>
      <c r="I400" s="4" t="str">
        <f aca="false">IF(H400="","No",IF(H400&lt;=0,"No","Yes"))</f>
        <v>Yes</v>
      </c>
      <c r="J400" s="4" t="str">
        <f aca="false">Orders_Raw!E400</f>
        <v>Headphones</v>
      </c>
      <c r="K400" s="4" t="str">
        <f aca="false">Orders_Raw!H400</f>
        <v>2026-06-12 15:00</v>
      </c>
      <c r="L400" s="4" t="str">
        <f aca="false">IF(COUNTIF(Orders_Raw!$A$5:$A$539,A400)&gt;1,"YES","No")</f>
        <v>No</v>
      </c>
      <c r="M400" s="4" t="str">
        <f aca="false">IF(COUNTIFS($B$5:$B$539,B400,$D$5:$D$539,D400,$F$5:$F$539,F400)&gt;1,"YES","No")</f>
        <v>No</v>
      </c>
      <c r="N400" s="4" t="str">
        <f aca="false">IFERROR(INDEX(Customer_Master!$B$5:$B$64,MATCH(B400,Customer_Master!$A$5:$A$64,0)),"UNMATCHED")</f>
        <v>Musa Sani</v>
      </c>
      <c r="O400" s="4" t="str">
        <f aca="false">IFERROR(INDEX(Customer_Master!$C$5:$C$64,MATCH(B400,Customer_Master!$A$5:$A$64,0)),"UNMATCHED")</f>
        <v>New</v>
      </c>
      <c r="P400" s="4" t="str">
        <f aca="false">IFERROR(INDEX(Customer_Master!$D$5:$D$64,MATCH(B400,Customer_Master!$A$5:$A$64,0)),"UNMATCHED")</f>
        <v>Kano</v>
      </c>
      <c r="Q400" s="4" t="str">
        <f aca="false">IF(N400="UNMATCHED","Unmatched","Matched")</f>
        <v>Matched</v>
      </c>
      <c r="R400" s="4" t="str">
        <f aca="false">IF(OR(E400="No",G400="No",I400="No",L400="YES",Q400="Unmatched"),"NEEDS REVIEW","OK")</f>
        <v>OK</v>
      </c>
    </row>
    <row r="401" customFormat="false" ht="15" hidden="false" customHeight="false" outlineLevel="0" collapsed="false">
      <c r="A401" s="4" t="str">
        <f aca="false">Orders_Raw!A401</f>
        <v>ORD00474</v>
      </c>
      <c r="B401" s="4" t="str">
        <f aca="false">TRIM(UPPER(Orders_Raw!B401))</f>
        <v>CUST0050</v>
      </c>
      <c r="C401" s="4" t="str">
        <f aca="false">PROPER(TRIM(Orders_Raw!C401))</f>
        <v>Ngozi Duru</v>
      </c>
      <c r="D401" s="6" t="n">
        <f aca="false">IFERROR(DATEVALUE(Orders_Raw!D401),"")</f>
        <v>46155</v>
      </c>
      <c r="E401" s="4" t="str">
        <f aca="false">IF(D401="","No","Yes")</f>
        <v>Yes</v>
      </c>
      <c r="F401" s="4" t="n">
        <f aca="false">IFERROR(VALUE(SUBSTITUTE(SUBSTITUTE(SUBSTITUTE(Orders_Raw!G401,"$",""),"NGN",""),",","")),"")</f>
        <v>524.89</v>
      </c>
      <c r="G401" s="4" t="str">
        <f aca="false">IF(F401="","No","Yes")</f>
        <v>Yes</v>
      </c>
      <c r="H401" s="4" t="str">
        <f aca="false">Orders_Raw!F401</f>
        <v>2</v>
      </c>
      <c r="I401" s="4" t="str">
        <f aca="false">IF(H401="","No",IF(H401&lt;=0,"No","Yes"))</f>
        <v>Yes</v>
      </c>
      <c r="J401" s="4" t="str">
        <f aca="false">Orders_Raw!E401</f>
        <v>Phone</v>
      </c>
      <c r="K401" s="4" t="str">
        <f aca="false">Orders_Raw!H401</f>
        <v>2026-05-13 08:19</v>
      </c>
      <c r="L401" s="4" t="str">
        <f aca="false">IF(COUNTIF(Orders_Raw!$A$5:$A$539,A401)&gt;1,"YES","No")</f>
        <v>No</v>
      </c>
      <c r="M401" s="4" t="str">
        <f aca="false">IF(COUNTIFS($B$5:$B$539,B401,$D$5:$D$539,D401,$F$5:$F$539,F401)&gt;1,"YES","No")</f>
        <v>No</v>
      </c>
      <c r="N401" s="4" t="str">
        <f aca="false">IFERROR(INDEX(Customer_Master!$B$5:$B$64,MATCH(B401,Customer_Master!$A$5:$A$64,0)),"UNMATCHED")</f>
        <v>Ngozi Duru</v>
      </c>
      <c r="O401" s="4" t="str">
        <f aca="false">IFERROR(INDEX(Customer_Master!$C$5:$C$64,MATCH(B401,Customer_Master!$A$5:$A$64,0)),"UNMATCHED")</f>
        <v>New</v>
      </c>
      <c r="P401" s="4" t="str">
        <f aca="false">IFERROR(INDEX(Customer_Master!$D$5:$D$64,MATCH(B401,Customer_Master!$A$5:$A$64,0)),"UNMATCHED")</f>
        <v>Kano</v>
      </c>
      <c r="Q401" s="4" t="str">
        <f aca="false">IF(N401="UNMATCHED","Unmatched","Matched")</f>
        <v>Matched</v>
      </c>
      <c r="R401" s="4" t="str">
        <f aca="false">IF(OR(E401="No",G401="No",I401="No",L401="YES",Q401="Unmatched"),"NEEDS REVIEW","OK")</f>
        <v>OK</v>
      </c>
    </row>
    <row r="402" customFormat="false" ht="15" hidden="false" customHeight="false" outlineLevel="0" collapsed="false">
      <c r="A402" s="4" t="str">
        <f aca="false">Orders_Raw!A402</f>
        <v>ORD00369</v>
      </c>
      <c r="B402" s="4" t="str">
        <f aca="false">TRIM(UPPER(Orders_Raw!B402))</f>
        <v>CUST0052</v>
      </c>
      <c r="C402" s="4" t="str">
        <f aca="false">PROPER(TRIM(Orders_Raw!C402))</f>
        <v>Mary Adeyemi</v>
      </c>
      <c r="D402" s="6" t="str">
        <f aca="false">IFERROR(DATEVALUE(Orders_Raw!D402),"")</f>
        <v/>
      </c>
      <c r="E402" s="4" t="str">
        <f aca="false">IF(D402="","No","Yes")</f>
        <v>No</v>
      </c>
      <c r="F402" s="4" t="n">
        <f aca="false">IFERROR(VALUE(SUBSTITUTE(SUBSTITUTE(SUBSTITUTE(Orders_Raw!G402,"$",""),"NGN",""),",","")),"")</f>
        <v>347.7</v>
      </c>
      <c r="G402" s="4" t="str">
        <f aca="false">IF(F402="","No","Yes")</f>
        <v>Yes</v>
      </c>
      <c r="H402" s="4" t="str">
        <f aca="false">Orders_Raw!F402</f>
        <v>5</v>
      </c>
      <c r="I402" s="4" t="str">
        <f aca="false">IF(H402="","No",IF(H402&lt;=0,"No","Yes"))</f>
        <v>Yes</v>
      </c>
      <c r="J402" s="4" t="str">
        <f aca="false">Orders_Raw!E402</f>
        <v>Mouse</v>
      </c>
      <c r="K402" s="4" t="str">
        <f aca="false">Orders_Raw!H402</f>
        <v>2026-01-26 17:56</v>
      </c>
      <c r="L402" s="4" t="str">
        <f aca="false">IF(COUNTIF(Orders_Raw!$A$5:$A$539,A402)&gt;1,"YES","No")</f>
        <v>No</v>
      </c>
      <c r="M402" s="4" t="str">
        <f aca="false">IF(COUNTIFS($B$5:$B$539,B402,$D$5:$D$539,D402,$F$5:$F$539,F402)&gt;1,"YES","No")</f>
        <v>No</v>
      </c>
      <c r="N402" s="4" t="str">
        <f aca="false">IFERROR(INDEX(Customer_Master!$B$5:$B$64,MATCH(B402,Customer_Master!$A$5:$A$64,0)),"UNMATCHED")</f>
        <v>Mary Adeyemi</v>
      </c>
      <c r="O402" s="4" t="str">
        <f aca="false">IFERROR(INDEX(Customer_Master!$C$5:$C$64,MATCH(B402,Customer_Master!$A$5:$A$64,0)),"UNMATCHED")</f>
        <v>Loyal</v>
      </c>
      <c r="P402" s="4" t="str">
        <f aca="false">IFERROR(INDEX(Customer_Master!$D$5:$D$64,MATCH(B402,Customer_Master!$A$5:$A$64,0)),"UNMATCHED")</f>
        <v>Abuja</v>
      </c>
      <c r="Q402" s="4" t="str">
        <f aca="false">IF(N402="UNMATCHED","Unmatched","Matched")</f>
        <v>Matched</v>
      </c>
      <c r="R402" s="4" t="str">
        <f aca="false">IF(OR(E402="No",G402="No",I402="No",L402="YES",Q402="Unmatched"),"NEEDS REVIEW","OK")</f>
        <v>NEEDS REVIEW</v>
      </c>
    </row>
    <row r="403" customFormat="false" ht="15" hidden="false" customHeight="false" outlineLevel="0" collapsed="false">
      <c r="A403" s="4" t="str">
        <f aca="false">Orders_Raw!A403</f>
        <v>ORD00235</v>
      </c>
      <c r="B403" s="4" t="str">
        <f aca="false">TRIM(UPPER(Orders_Raw!B403))</f>
        <v>CUST0042</v>
      </c>
      <c r="C403" s="4" t="str">
        <f aca="false">PROPER(TRIM(Orders_Raw!C403))</f>
        <v>Bisi Chukwu</v>
      </c>
      <c r="D403" s="6" t="n">
        <f aca="false">IFERROR(DATEVALUE(Orders_Raw!D403),"")</f>
        <v>46191</v>
      </c>
      <c r="E403" s="4" t="str">
        <f aca="false">IF(D403="","No","Yes")</f>
        <v>Yes</v>
      </c>
      <c r="F403" s="4" t="n">
        <f aca="false">IFERROR(VALUE(SUBSTITUTE(SUBSTITUTE(SUBSTITUTE(Orders_Raw!G403,"$",""),"NGN",""),",","")),"")</f>
        <v>525.53</v>
      </c>
      <c r="G403" s="4" t="str">
        <f aca="false">IF(F403="","No","Yes")</f>
        <v>Yes</v>
      </c>
      <c r="H403" s="4" t="str">
        <f aca="false">Orders_Raw!F403</f>
        <v>3</v>
      </c>
      <c r="I403" s="4" t="str">
        <f aca="false">IF(H403="","No",IF(H403&lt;=0,"No","Yes"))</f>
        <v>Yes</v>
      </c>
      <c r="J403" s="4" t="str">
        <f aca="false">Orders_Raw!E403</f>
        <v>Laptop</v>
      </c>
      <c r="K403" s="4" t="str">
        <f aca="false">Orders_Raw!H403</f>
        <v>2026-06-18 11:31</v>
      </c>
      <c r="L403" s="4" t="str">
        <f aca="false">IF(COUNTIF(Orders_Raw!$A$5:$A$539,A403)&gt;1,"YES","No")</f>
        <v>No</v>
      </c>
      <c r="M403" s="4" t="str">
        <f aca="false">IF(COUNTIFS($B$5:$B$539,B403,$D$5:$D$539,D403,$F$5:$F$539,F403)&gt;1,"YES","No")</f>
        <v>No</v>
      </c>
      <c r="N403" s="4" t="str">
        <f aca="false">IFERROR(INDEX(Customer_Master!$B$5:$B$64,MATCH(B403,Customer_Master!$A$5:$A$64,0)),"UNMATCHED")</f>
        <v>Bisi Chukwu</v>
      </c>
      <c r="O403" s="4" t="str">
        <f aca="false">IFERROR(INDEX(Customer_Master!$C$5:$C$64,MATCH(B403,Customer_Master!$A$5:$A$64,0)),"UNMATCHED")</f>
        <v>At Risk</v>
      </c>
      <c r="P403" s="4" t="str">
        <f aca="false">IFERROR(INDEX(Customer_Master!$D$5:$D$64,MATCH(B403,Customer_Master!$A$5:$A$64,0)),"UNMATCHED")</f>
        <v>Kano</v>
      </c>
      <c r="Q403" s="4" t="str">
        <f aca="false">IF(N403="UNMATCHED","Unmatched","Matched")</f>
        <v>Matched</v>
      </c>
      <c r="R403" s="4" t="str">
        <f aca="false">IF(OR(E403="No",G403="No",I403="No",L403="YES",Q403="Unmatched"),"NEEDS REVIEW","OK")</f>
        <v>OK</v>
      </c>
    </row>
    <row r="404" customFormat="false" ht="15" hidden="false" customHeight="false" outlineLevel="0" collapsed="false">
      <c r="A404" s="4" t="str">
        <f aca="false">Orders_Raw!A404</f>
        <v>ORD00070</v>
      </c>
      <c r="B404" s="4" t="str">
        <f aca="false">TRIM(UPPER(Orders_Raw!B404))</f>
        <v>CUST0028</v>
      </c>
      <c r="C404" s="4" t="str">
        <f aca="false">PROPER(TRIM(Orders_Raw!C404))</f>
        <v>James Adamu</v>
      </c>
      <c r="D404" s="6" t="n">
        <f aca="false">IFERROR(DATEVALUE(Orders_Raw!D404),"")</f>
        <v>46100</v>
      </c>
      <c r="E404" s="4" t="str">
        <f aca="false">IF(D404="","No","Yes")</f>
        <v>Yes</v>
      </c>
      <c r="F404" s="4" t="n">
        <f aca="false">IFERROR(VALUE(SUBSTITUTE(SUBSTITUTE(SUBSTITUTE(Orders_Raw!G404,"$",""),"NGN",""),",","")),"")</f>
        <v>2498.44</v>
      </c>
      <c r="G404" s="4" t="str">
        <f aca="false">IF(F404="","No","Yes")</f>
        <v>Yes</v>
      </c>
      <c r="H404" s="4" t="str">
        <f aca="false">Orders_Raw!F404</f>
        <v>1</v>
      </c>
      <c r="I404" s="4" t="str">
        <f aca="false">IF(H404="","No",IF(H404&lt;=0,"No","Yes"))</f>
        <v>Yes</v>
      </c>
      <c r="J404" s="4" t="str">
        <f aca="false">Orders_Raw!E404</f>
        <v>Speaker</v>
      </c>
      <c r="K404" s="4" t="str">
        <f aca="false">Orders_Raw!H404</f>
        <v>2026-03-19 12:44</v>
      </c>
      <c r="L404" s="4" t="str">
        <f aca="false">IF(COUNTIF(Orders_Raw!$A$5:$A$539,A404)&gt;1,"YES","No")</f>
        <v>No</v>
      </c>
      <c r="M404" s="4" t="str">
        <f aca="false">IF(COUNTIFS($B$5:$B$539,B404,$D$5:$D$539,D404,$F$5:$F$539,F404)&gt;1,"YES","No")</f>
        <v>No</v>
      </c>
      <c r="N404" s="4" t="str">
        <f aca="false">IFERROR(INDEX(Customer_Master!$B$5:$B$64,MATCH(B404,Customer_Master!$A$5:$A$64,0)),"UNMATCHED")</f>
        <v>James Adamu</v>
      </c>
      <c r="O404" s="4" t="str">
        <f aca="false">IFERROR(INDEX(Customer_Master!$C$5:$C$64,MATCH(B404,Customer_Master!$A$5:$A$64,0)),"UNMATCHED")</f>
        <v>New</v>
      </c>
      <c r="P404" s="4" t="str">
        <f aca="false">IFERROR(INDEX(Customer_Master!$D$5:$D$64,MATCH(B404,Customer_Master!$A$5:$A$64,0)),"UNMATCHED")</f>
        <v>Ibadan</v>
      </c>
      <c r="Q404" s="4" t="str">
        <f aca="false">IF(N404="UNMATCHED","Unmatched","Matched")</f>
        <v>Matched</v>
      </c>
      <c r="R404" s="4" t="str">
        <f aca="false">IF(OR(E404="No",G404="No",I404="No",L404="YES",Q404="Unmatched"),"NEEDS REVIEW","OK")</f>
        <v>OK</v>
      </c>
    </row>
    <row r="405" customFormat="false" ht="15" hidden="false" customHeight="false" outlineLevel="0" collapsed="false">
      <c r="A405" s="4" t="str">
        <f aca="false">Orders_Raw!A405</f>
        <v>ORD00192</v>
      </c>
      <c r="B405" s="4" t="str">
        <f aca="false">TRIM(UPPER(Orders_Raw!B405))</f>
        <v>CUST0003</v>
      </c>
      <c r="C405" s="4" t="str">
        <f aca="false">PROPER(TRIM(Orders_Raw!C405))</f>
        <v>Chidi Adamu</v>
      </c>
      <c r="D405" s="6" t="n">
        <f aca="false">IFERROR(DATEVALUE(Orders_Raw!D405),"")</f>
        <v>46162</v>
      </c>
      <c r="E405" s="4" t="str">
        <f aca="false">IF(D405="","No","Yes")</f>
        <v>Yes</v>
      </c>
      <c r="F405" s="4" t="n">
        <f aca="false">IFERROR(VALUE(SUBSTITUTE(SUBSTITUTE(SUBSTITUTE(Orders_Raw!G405,"$",""),"NGN",""),",","")),"")</f>
        <v>1650.4</v>
      </c>
      <c r="G405" s="4" t="str">
        <f aca="false">IF(F405="","No","Yes")</f>
        <v>Yes</v>
      </c>
      <c r="H405" s="4" t="str">
        <f aca="false">Orders_Raw!F405</f>
        <v>5</v>
      </c>
      <c r="I405" s="4" t="str">
        <f aca="false">IF(H405="","No",IF(H405&lt;=0,"No","Yes"))</f>
        <v>Yes</v>
      </c>
      <c r="J405" s="4" t="str">
        <f aca="false">Orders_Raw!E405</f>
        <v>Speaker</v>
      </c>
      <c r="K405" s="4" t="str">
        <f aca="false">Orders_Raw!H405</f>
        <v>2026-05-20 10:48</v>
      </c>
      <c r="L405" s="4" t="str">
        <f aca="false">IF(COUNTIF(Orders_Raw!$A$5:$A$539,A405)&gt;1,"YES","No")</f>
        <v>No</v>
      </c>
      <c r="M405" s="4" t="str">
        <f aca="false">IF(COUNTIFS($B$5:$B$539,B405,$D$5:$D$539,D405,$F$5:$F$539,F405)&gt;1,"YES","No")</f>
        <v>No</v>
      </c>
      <c r="N405" s="4" t="str">
        <f aca="false">IFERROR(INDEX(Customer_Master!$B$5:$B$64,MATCH(B405,Customer_Master!$A$5:$A$64,0)),"UNMATCHED")</f>
        <v>Chidi Adamu</v>
      </c>
      <c r="O405" s="4" t="str">
        <f aca="false">IFERROR(INDEX(Customer_Master!$C$5:$C$64,MATCH(B405,Customer_Master!$A$5:$A$64,0)),"UNMATCHED")</f>
        <v>Champions</v>
      </c>
      <c r="P405" s="4" t="str">
        <f aca="false">IFERROR(INDEX(Customer_Master!$D$5:$D$64,MATCH(B405,Customer_Master!$A$5:$A$64,0)),"UNMATCHED")</f>
        <v>Enugu</v>
      </c>
      <c r="Q405" s="4" t="str">
        <f aca="false">IF(N405="UNMATCHED","Unmatched","Matched")</f>
        <v>Matched</v>
      </c>
      <c r="R405" s="4" t="str">
        <f aca="false">IF(OR(E405="No",G405="No",I405="No",L405="YES",Q405="Unmatched"),"NEEDS REVIEW","OK")</f>
        <v>OK</v>
      </c>
    </row>
    <row r="406" customFormat="false" ht="15" hidden="false" customHeight="false" outlineLevel="0" collapsed="false">
      <c r="A406" s="4" t="str">
        <f aca="false">Orders_Raw!A406</f>
        <v>ORD00199</v>
      </c>
      <c r="B406" s="4" t="str">
        <f aca="false">TRIM(UPPER(Orders_Raw!B406))</f>
        <v>CUST0034</v>
      </c>
      <c r="C406" s="4" t="str">
        <f aca="false">PROPER(TRIM(Orders_Raw!C406))</f>
        <v>Samuel Sani</v>
      </c>
      <c r="D406" s="6" t="n">
        <f aca="false">IFERROR(DATEVALUE(Orders_Raw!D406),"")</f>
        <v>46066</v>
      </c>
      <c r="E406" s="4" t="str">
        <f aca="false">IF(D406="","No","Yes")</f>
        <v>Yes</v>
      </c>
      <c r="F406" s="4" t="n">
        <f aca="false">IFERROR(VALUE(SUBSTITUTE(SUBSTITUTE(SUBSTITUTE(Orders_Raw!G406,"$",""),"NGN",""),",","")),"")</f>
        <v>683.26</v>
      </c>
      <c r="G406" s="4" t="str">
        <f aca="false">IF(F406="","No","Yes")</f>
        <v>Yes</v>
      </c>
      <c r="H406" s="4" t="str">
        <f aca="false">Orders_Raw!F406</f>
        <v>2</v>
      </c>
      <c r="I406" s="4" t="str">
        <f aca="false">IF(H406="","No",IF(H406&lt;=0,"No","Yes"))</f>
        <v>Yes</v>
      </c>
      <c r="J406" s="4" t="str">
        <f aca="false">Orders_Raw!E406</f>
        <v>Mouse</v>
      </c>
      <c r="K406" s="4" t="str">
        <f aca="false">Orders_Raw!H406</f>
        <v>2026-02-13 14:19</v>
      </c>
      <c r="L406" s="4" t="str">
        <f aca="false">IF(COUNTIF(Orders_Raw!$A$5:$A$539,A406)&gt;1,"YES","No")</f>
        <v>No</v>
      </c>
      <c r="M406" s="4" t="str">
        <f aca="false">IF(COUNTIFS($B$5:$B$539,B406,$D$5:$D$539,D406,$F$5:$F$539,F406)&gt;1,"YES","No")</f>
        <v>No</v>
      </c>
      <c r="N406" s="4" t="str">
        <f aca="false">IFERROR(INDEX(Customer_Master!$B$5:$B$64,MATCH(B406,Customer_Master!$A$5:$A$64,0)),"UNMATCHED")</f>
        <v>Samuel Sani</v>
      </c>
      <c r="O406" s="4" t="str">
        <f aca="false">IFERROR(INDEX(Customer_Master!$C$5:$C$64,MATCH(B406,Customer_Master!$A$5:$A$64,0)),"UNMATCHED")</f>
        <v>New</v>
      </c>
      <c r="P406" s="4" t="str">
        <f aca="false">IFERROR(INDEX(Customer_Master!$D$5:$D$64,MATCH(B406,Customer_Master!$A$5:$A$64,0)),"UNMATCHED")</f>
        <v>Lagos</v>
      </c>
      <c r="Q406" s="4" t="str">
        <f aca="false">IF(N406="UNMATCHED","Unmatched","Matched")</f>
        <v>Matched</v>
      </c>
      <c r="R406" s="4" t="str">
        <f aca="false">IF(OR(E406="No",G406="No",I406="No",L406="YES",Q406="Unmatched"),"NEEDS REVIEW","OK")</f>
        <v>OK</v>
      </c>
    </row>
    <row r="407" customFormat="false" ht="15" hidden="false" customHeight="false" outlineLevel="0" collapsed="false">
      <c r="A407" s="4" t="str">
        <f aca="false">Orders_Raw!A407</f>
        <v>ORD00219</v>
      </c>
      <c r="B407" s="4" t="str">
        <f aca="false">TRIM(UPPER(Orders_Raw!B407))</f>
        <v>CUST0015</v>
      </c>
      <c r="C407" s="4" t="str">
        <f aca="false">PROPER(TRIM(Orders_Raw!C407))</f>
        <v>Ahmed Nwosu</v>
      </c>
      <c r="D407" s="6" t="str">
        <f aca="false">IFERROR(DATEVALUE(Orders_Raw!D407),"")</f>
        <v/>
      </c>
      <c r="E407" s="4" t="str">
        <f aca="false">IF(D407="","No","Yes")</f>
        <v>No</v>
      </c>
      <c r="F407" s="4" t="n">
        <f aca="false">IFERROR(VALUE(SUBSTITUTE(SUBSTITUTE(SUBSTITUTE(Orders_Raw!G407,"$",""),"NGN",""),",","")),"")</f>
        <v>1420.64</v>
      </c>
      <c r="G407" s="4" t="str">
        <f aca="false">IF(F407="","No","Yes")</f>
        <v>Yes</v>
      </c>
      <c r="H407" s="4" t="str">
        <f aca="false">Orders_Raw!F407</f>
        <v>3</v>
      </c>
      <c r="I407" s="4" t="str">
        <f aca="false">IF(H407="","No",IF(H407&lt;=0,"No","Yes"))</f>
        <v>Yes</v>
      </c>
      <c r="J407" s="4" t="str">
        <f aca="false">Orders_Raw!E407</f>
        <v>Mouse</v>
      </c>
      <c r="K407" s="4" t="str">
        <f aca="false">Orders_Raw!H407</f>
        <v>2026-07-19 16:52</v>
      </c>
      <c r="L407" s="4" t="str">
        <f aca="false">IF(COUNTIF(Orders_Raw!$A$5:$A$539,A407)&gt;1,"YES","No")</f>
        <v>YES</v>
      </c>
      <c r="M407" s="4" t="str">
        <f aca="false">IF(COUNTIFS($B$5:$B$539,B407,$D$5:$D$539,D407,$F$5:$F$539,F407)&gt;1,"YES","No")</f>
        <v>YES</v>
      </c>
      <c r="N407" s="4" t="str">
        <f aca="false">IFERROR(INDEX(Customer_Master!$B$5:$B$64,MATCH(B407,Customer_Master!$A$5:$A$64,0)),"UNMATCHED")</f>
        <v>Ahmed Nwosu</v>
      </c>
      <c r="O407" s="4" t="str">
        <f aca="false">IFERROR(INDEX(Customer_Master!$C$5:$C$64,MATCH(B407,Customer_Master!$A$5:$A$64,0)),"UNMATCHED")</f>
        <v>Champions</v>
      </c>
      <c r="P407" s="4" t="str">
        <f aca="false">IFERROR(INDEX(Customer_Master!$D$5:$D$64,MATCH(B407,Customer_Master!$A$5:$A$64,0)),"UNMATCHED")</f>
        <v>Lagos</v>
      </c>
      <c r="Q407" s="4" t="str">
        <f aca="false">IF(N407="UNMATCHED","Unmatched","Matched")</f>
        <v>Matched</v>
      </c>
      <c r="R407" s="4" t="str">
        <f aca="false">IF(OR(E407="No",G407="No",I407="No",L407="YES",Q407="Unmatched"),"NEEDS REVIEW","OK")</f>
        <v>NEEDS REVIEW</v>
      </c>
    </row>
    <row r="408" customFormat="false" ht="15" hidden="false" customHeight="false" outlineLevel="0" collapsed="false">
      <c r="A408" s="4" t="str">
        <f aca="false">Orders_Raw!A408</f>
        <v>ORD00450</v>
      </c>
      <c r="B408" s="4" t="str">
        <f aca="false">TRIM(UPPER(Orders_Raw!B408))</f>
        <v>CUSTO015</v>
      </c>
      <c r="C408" s="4" t="str">
        <f aca="false">PROPER(TRIM(Orders_Raw!C408))</f>
        <v>Ahmed Nwosu</v>
      </c>
      <c r="D408" s="6" t="n">
        <f aca="false">IFERROR(DATEVALUE(Orders_Raw!D408),"")</f>
        <v>46128</v>
      </c>
      <c r="E408" s="4" t="str">
        <f aca="false">IF(D408="","No","Yes")</f>
        <v>Yes</v>
      </c>
      <c r="F408" s="4" t="n">
        <f aca="false">IFERROR(VALUE(SUBSTITUTE(SUBSTITUTE(SUBSTITUTE(Orders_Raw!G408,"$",""),"NGN",""),",","")),"")</f>
        <v>1859.78</v>
      </c>
      <c r="G408" s="4" t="str">
        <f aca="false">IF(F408="","No","Yes")</f>
        <v>Yes</v>
      </c>
      <c r="H408" s="4" t="str">
        <f aca="false">Orders_Raw!F408</f>
        <v>5</v>
      </c>
      <c r="I408" s="4" t="str">
        <f aca="false">IF(H408="","No",IF(H408&lt;=0,"No","Yes"))</f>
        <v>Yes</v>
      </c>
      <c r="J408" s="4" t="str">
        <f aca="false">Orders_Raw!E408</f>
        <v>Printer</v>
      </c>
      <c r="K408" s="4" t="str">
        <f aca="false">Orders_Raw!H408</f>
        <v>2026-04-16 17:31</v>
      </c>
      <c r="L408" s="4" t="str">
        <f aca="false">IF(COUNTIF(Orders_Raw!$A$5:$A$539,A408)&gt;1,"YES","No")</f>
        <v>YES</v>
      </c>
      <c r="M408" s="4" t="str">
        <f aca="false">IF(COUNTIFS($B$5:$B$539,B408,$D$5:$D$539,D408,$F$5:$F$539,F408)&gt;1,"YES","No")</f>
        <v>YES</v>
      </c>
      <c r="N408" s="4" t="str">
        <f aca="false">IFERROR(INDEX(Customer_Master!$B$5:$B$64,MATCH(B408,Customer_Master!$A$5:$A$64,0)),"UNMATCHED")</f>
        <v>UNMATCHED</v>
      </c>
      <c r="O408" s="4" t="str">
        <f aca="false">IFERROR(INDEX(Customer_Master!$C$5:$C$64,MATCH(B408,Customer_Master!$A$5:$A$64,0)),"UNMATCHED")</f>
        <v>UNMATCHED</v>
      </c>
      <c r="P408" s="4" t="str">
        <f aca="false">IFERROR(INDEX(Customer_Master!$D$5:$D$64,MATCH(B408,Customer_Master!$A$5:$A$64,0)),"UNMATCHED")</f>
        <v>UNMATCHED</v>
      </c>
      <c r="Q408" s="4" t="str">
        <f aca="false">IF(N408="UNMATCHED","Unmatched","Matched")</f>
        <v>Unmatched</v>
      </c>
      <c r="R408" s="4" t="str">
        <f aca="false">IF(OR(E408="No",G408="No",I408="No",L408="YES",Q408="Unmatched"),"NEEDS REVIEW","OK")</f>
        <v>NEEDS REVIEW</v>
      </c>
    </row>
    <row r="409" customFormat="false" ht="15" hidden="false" customHeight="false" outlineLevel="0" collapsed="false">
      <c r="A409" s="4" t="str">
        <f aca="false">Orders_Raw!A409</f>
        <v>ORD00511</v>
      </c>
      <c r="B409" s="4" t="str">
        <f aca="false">TRIM(UPPER(Orders_Raw!B409))</f>
        <v>CUST0042</v>
      </c>
      <c r="C409" s="4" t="str">
        <f aca="false">PROPER(TRIM(Orders_Raw!C409))</f>
        <v>Bisi Chukwu</v>
      </c>
      <c r="D409" s="6" t="str">
        <f aca="false">IFERROR(DATEVALUE(Orders_Raw!D409),"")</f>
        <v/>
      </c>
      <c r="E409" s="4" t="str">
        <f aca="false">IF(D409="","No","Yes")</f>
        <v>No</v>
      </c>
      <c r="F409" s="4" t="n">
        <f aca="false">IFERROR(VALUE(SUBSTITUTE(SUBSTITUTE(SUBSTITUTE(Orders_Raw!G409,"$",""),"NGN",""),",","")),"")</f>
        <v>196.2</v>
      </c>
      <c r="G409" s="4" t="str">
        <f aca="false">IF(F409="","No","Yes")</f>
        <v>Yes</v>
      </c>
      <c r="H409" s="4" t="str">
        <f aca="false">Orders_Raw!F409</f>
        <v>4</v>
      </c>
      <c r="I409" s="4" t="str">
        <f aca="false">IF(H409="","No",IF(H409&lt;=0,"No","Yes"))</f>
        <v>Yes</v>
      </c>
      <c r="J409" s="4" t="str">
        <f aca="false">Orders_Raw!E409</f>
        <v>Printer</v>
      </c>
      <c r="K409" s="4" t="str">
        <f aca="false">Orders_Raw!H409</f>
        <v>2026-01-27 10:41</v>
      </c>
      <c r="L409" s="4" t="str">
        <f aca="false">IF(COUNTIF(Orders_Raw!$A$5:$A$539,A409)&gt;1,"YES","No")</f>
        <v>No</v>
      </c>
      <c r="M409" s="4" t="str">
        <f aca="false">IF(COUNTIFS($B$5:$B$539,B409,$D$5:$D$539,D409,$F$5:$F$539,F409)&gt;1,"YES","No")</f>
        <v>No</v>
      </c>
      <c r="N409" s="4" t="str">
        <f aca="false">IFERROR(INDEX(Customer_Master!$B$5:$B$64,MATCH(B409,Customer_Master!$A$5:$A$64,0)),"UNMATCHED")</f>
        <v>Bisi Chukwu</v>
      </c>
      <c r="O409" s="4" t="str">
        <f aca="false">IFERROR(INDEX(Customer_Master!$C$5:$C$64,MATCH(B409,Customer_Master!$A$5:$A$64,0)),"UNMATCHED")</f>
        <v>At Risk</v>
      </c>
      <c r="P409" s="4" t="str">
        <f aca="false">IFERROR(INDEX(Customer_Master!$D$5:$D$64,MATCH(B409,Customer_Master!$A$5:$A$64,0)),"UNMATCHED")</f>
        <v>Kano</v>
      </c>
      <c r="Q409" s="4" t="str">
        <f aca="false">IF(N409="UNMATCHED","Unmatched","Matched")</f>
        <v>Matched</v>
      </c>
      <c r="R409" s="4" t="str">
        <f aca="false">IF(OR(E409="No",G409="No",I409="No",L409="YES",Q409="Unmatched"),"NEEDS REVIEW","OK")</f>
        <v>NEEDS REVIEW</v>
      </c>
    </row>
    <row r="410" customFormat="false" ht="15" hidden="false" customHeight="false" outlineLevel="0" collapsed="false">
      <c r="A410" s="4" t="str">
        <f aca="false">Orders_Raw!A410</f>
        <v>ORD00111</v>
      </c>
      <c r="B410" s="4" t="str">
        <f aca="false">TRIM(UPPER(Orders_Raw!B410))</f>
        <v>CUST0022</v>
      </c>
      <c r="C410" s="4" t="str">
        <f aca="false">PROPER(TRIM(Orders_Raw!C410))</f>
        <v>Musa Sani</v>
      </c>
      <c r="D410" s="6" t="n">
        <f aca="false">IFERROR(DATEVALUE(Orders_Raw!D410),"")</f>
        <v>46056</v>
      </c>
      <c r="E410" s="4" t="str">
        <f aca="false">IF(D410="","No","Yes")</f>
        <v>Yes</v>
      </c>
      <c r="F410" s="4" t="n">
        <f aca="false">IFERROR(VALUE(SUBSTITUTE(SUBSTITUTE(SUBSTITUTE(Orders_Raw!G410,"$",""),"NGN",""),",","")),"")</f>
        <v>951.15</v>
      </c>
      <c r="G410" s="4" t="str">
        <f aca="false">IF(F410="","No","Yes")</f>
        <v>Yes</v>
      </c>
      <c r="H410" s="4" t="str">
        <f aca="false">Orders_Raw!F410</f>
        <v>1</v>
      </c>
      <c r="I410" s="4" t="str">
        <f aca="false">IF(H410="","No",IF(H410&lt;=0,"No","Yes"))</f>
        <v>Yes</v>
      </c>
      <c r="J410" s="4" t="str">
        <f aca="false">Orders_Raw!E410</f>
        <v>Headphones</v>
      </c>
      <c r="K410" s="4" t="str">
        <f aca="false">Orders_Raw!H410</f>
        <v>2026-02-03 15:02</v>
      </c>
      <c r="L410" s="4" t="str">
        <f aca="false">IF(COUNTIF(Orders_Raw!$A$5:$A$539,A410)&gt;1,"YES","No")</f>
        <v>No</v>
      </c>
      <c r="M410" s="4" t="str">
        <f aca="false">IF(COUNTIFS($B$5:$B$539,B410,$D$5:$D$539,D410,$F$5:$F$539,F410)&gt;1,"YES","No")</f>
        <v>No</v>
      </c>
      <c r="N410" s="4" t="str">
        <f aca="false">IFERROR(INDEX(Customer_Master!$B$5:$B$64,MATCH(B410,Customer_Master!$A$5:$A$64,0)),"UNMATCHED")</f>
        <v>Musa Sani</v>
      </c>
      <c r="O410" s="4" t="str">
        <f aca="false">IFERROR(INDEX(Customer_Master!$C$5:$C$64,MATCH(B410,Customer_Master!$A$5:$A$64,0)),"UNMATCHED")</f>
        <v>New</v>
      </c>
      <c r="P410" s="4" t="str">
        <f aca="false">IFERROR(INDEX(Customer_Master!$D$5:$D$64,MATCH(B410,Customer_Master!$A$5:$A$64,0)),"UNMATCHED")</f>
        <v>Kano</v>
      </c>
      <c r="Q410" s="4" t="str">
        <f aca="false">IF(N410="UNMATCHED","Unmatched","Matched")</f>
        <v>Matched</v>
      </c>
      <c r="R410" s="4" t="str">
        <f aca="false">IF(OR(E410="No",G410="No",I410="No",L410="YES",Q410="Unmatched"),"NEEDS REVIEW","OK")</f>
        <v>OK</v>
      </c>
    </row>
    <row r="411" customFormat="false" ht="15" hidden="false" customHeight="false" outlineLevel="0" collapsed="false">
      <c r="A411" s="4" t="str">
        <f aca="false">Orders_Raw!A411</f>
        <v>ORD00075</v>
      </c>
      <c r="B411" s="4" t="str">
        <f aca="false">TRIM(UPPER(Orders_Raw!B411))</f>
        <v>CUST0049</v>
      </c>
      <c r="C411" s="4" t="str">
        <f aca="false">PROPER(TRIM(Orders_Raw!C411))</f>
        <v>Bisi Ajayi</v>
      </c>
      <c r="D411" s="6" t="n">
        <f aca="false">IFERROR(DATEVALUE(Orders_Raw!D411),"")</f>
        <v>46165</v>
      </c>
      <c r="E411" s="4" t="str">
        <f aca="false">IF(D411="","No","Yes")</f>
        <v>Yes</v>
      </c>
      <c r="F411" s="4" t="n">
        <f aca="false">IFERROR(VALUE(SUBSTITUTE(SUBSTITUTE(SUBSTITUTE(Orders_Raw!G411,"$",""),"NGN",""),",","")),"")</f>
        <v>239.4</v>
      </c>
      <c r="G411" s="4" t="str">
        <f aca="false">IF(F411="","No","Yes")</f>
        <v>Yes</v>
      </c>
      <c r="H411" s="4" t="str">
        <f aca="false">Orders_Raw!F411</f>
        <v>1</v>
      </c>
      <c r="I411" s="4" t="str">
        <f aca="false">IF(H411="","No",IF(H411&lt;=0,"No","Yes"))</f>
        <v>Yes</v>
      </c>
      <c r="J411" s="4" t="str">
        <f aca="false">Orders_Raw!E411</f>
        <v>Keyboard</v>
      </c>
      <c r="K411" s="4" t="str">
        <f aca="false">Orders_Raw!H411</f>
        <v>2026-05-23 18:47</v>
      </c>
      <c r="L411" s="4" t="str">
        <f aca="false">IF(COUNTIF(Orders_Raw!$A$5:$A$539,A411)&gt;1,"YES","No")</f>
        <v>No</v>
      </c>
      <c r="M411" s="4" t="str">
        <f aca="false">IF(COUNTIFS($B$5:$B$539,B411,$D$5:$D$539,D411,$F$5:$F$539,F411)&gt;1,"YES","No")</f>
        <v>No</v>
      </c>
      <c r="N411" s="4" t="str">
        <f aca="false">IFERROR(INDEX(Customer_Master!$B$5:$B$64,MATCH(B411,Customer_Master!$A$5:$A$64,0)),"UNMATCHED")</f>
        <v>Bisi Ajayi</v>
      </c>
      <c r="O411" s="4" t="str">
        <f aca="false">IFERROR(INDEX(Customer_Master!$C$5:$C$64,MATCH(B411,Customer_Master!$A$5:$A$64,0)),"UNMATCHED")</f>
        <v>Loyal</v>
      </c>
      <c r="P411" s="4" t="str">
        <f aca="false">IFERROR(INDEX(Customer_Master!$D$5:$D$64,MATCH(B411,Customer_Master!$A$5:$A$64,0)),"UNMATCHED")</f>
        <v>Abuja</v>
      </c>
      <c r="Q411" s="4" t="str">
        <f aca="false">IF(N411="UNMATCHED","Unmatched","Matched")</f>
        <v>Matched</v>
      </c>
      <c r="R411" s="4" t="str">
        <f aca="false">IF(OR(E411="No",G411="No",I411="No",L411="YES",Q411="Unmatched"),"NEEDS REVIEW","OK")</f>
        <v>OK</v>
      </c>
    </row>
    <row r="412" customFormat="false" ht="15" hidden="false" customHeight="false" outlineLevel="0" collapsed="false">
      <c r="A412" s="4" t="str">
        <f aca="false">Orders_Raw!A412</f>
        <v>ORD00224</v>
      </c>
      <c r="B412" s="4" t="str">
        <f aca="false">TRIM(UPPER(Orders_Raw!B412))</f>
        <v>CUST0051</v>
      </c>
      <c r="C412" s="4" t="str">
        <f aca="false">PROPER(TRIM(Orders_Raw!C412))</f>
        <v>Ahmed Ajayi</v>
      </c>
      <c r="D412" s="6" t="n">
        <f aca="false">IFERROR(DATEVALUE(Orders_Raw!D412),"")</f>
        <v>46093</v>
      </c>
      <c r="E412" s="4" t="str">
        <f aca="false">IF(D412="","No","Yes")</f>
        <v>Yes</v>
      </c>
      <c r="F412" s="4" t="n">
        <f aca="false">IFERROR(VALUE(SUBSTITUTE(SUBSTITUTE(SUBSTITUTE(Orders_Raw!G412,"$",""),"NGN",""),",","")),"")</f>
        <v>1758.04</v>
      </c>
      <c r="G412" s="4" t="str">
        <f aca="false">IF(F412="","No","Yes")</f>
        <v>Yes</v>
      </c>
      <c r="H412" s="4" t="str">
        <f aca="false">Orders_Raw!F412</f>
        <v>1</v>
      </c>
      <c r="I412" s="4" t="str">
        <f aca="false">IF(H412="","No",IF(H412&lt;=0,"No","Yes"))</f>
        <v>Yes</v>
      </c>
      <c r="J412" s="4" t="str">
        <f aca="false">Orders_Raw!E412</f>
        <v>Charger</v>
      </c>
      <c r="K412" s="4" t="str">
        <f aca="false">Orders_Raw!H412</f>
        <v>2026-03-12 18:25</v>
      </c>
      <c r="L412" s="4" t="str">
        <f aca="false">IF(COUNTIF(Orders_Raw!$A$5:$A$539,A412)&gt;1,"YES","No")</f>
        <v>No</v>
      </c>
      <c r="M412" s="4" t="str">
        <f aca="false">IF(COUNTIFS($B$5:$B$539,B412,$D$5:$D$539,D412,$F$5:$F$539,F412)&gt;1,"YES","No")</f>
        <v>No</v>
      </c>
      <c r="N412" s="4" t="str">
        <f aca="false">IFERROR(INDEX(Customer_Master!$B$5:$B$64,MATCH(B412,Customer_Master!$A$5:$A$64,0)),"UNMATCHED")</f>
        <v>Ahmed Ajayi</v>
      </c>
      <c r="O412" s="4" t="str">
        <f aca="false">IFERROR(INDEX(Customer_Master!$C$5:$C$64,MATCH(B412,Customer_Master!$A$5:$A$64,0)),"UNMATCHED")</f>
        <v>Champions</v>
      </c>
      <c r="P412" s="4" t="str">
        <f aca="false">IFERROR(INDEX(Customer_Master!$D$5:$D$64,MATCH(B412,Customer_Master!$A$5:$A$64,0)),"UNMATCHED")</f>
        <v>Abuja</v>
      </c>
      <c r="Q412" s="4" t="str">
        <f aca="false">IF(N412="UNMATCHED","Unmatched","Matched")</f>
        <v>Matched</v>
      </c>
      <c r="R412" s="4" t="str">
        <f aca="false">IF(OR(E412="No",G412="No",I412="No",L412="YES",Q412="Unmatched"),"NEEDS REVIEW","OK")</f>
        <v>OK</v>
      </c>
    </row>
    <row r="413" customFormat="false" ht="15" hidden="false" customHeight="false" outlineLevel="0" collapsed="false">
      <c r="A413" s="4" t="str">
        <f aca="false">Orders_Raw!A413</f>
        <v>ORD00461</v>
      </c>
      <c r="B413" s="4" t="str">
        <f aca="false">TRIM(UPPER(Orders_Raw!B413))</f>
        <v>CUSTO023</v>
      </c>
      <c r="C413" s="4" t="str">
        <f aca="false">PROPER(TRIM(Orders_Raw!C413))</f>
        <v>Chidi Umeh</v>
      </c>
      <c r="D413" s="6" t="n">
        <f aca="false">IFERROR(DATEVALUE(Orders_Raw!D413),"")</f>
        <v>46177</v>
      </c>
      <c r="E413" s="4" t="str">
        <f aca="false">IF(D413="","No","Yes")</f>
        <v>Yes</v>
      </c>
      <c r="F413" s="4" t="n">
        <f aca="false">IFERROR(VALUE(SUBSTITUTE(SUBSTITUTE(SUBSTITUTE(Orders_Raw!G413,"$",""),"NGN",""),",","")),"")</f>
        <v>837.81</v>
      </c>
      <c r="G413" s="4" t="str">
        <f aca="false">IF(F413="","No","Yes")</f>
        <v>Yes</v>
      </c>
      <c r="H413" s="4" t="str">
        <f aca="false">Orders_Raw!F413</f>
        <v>1</v>
      </c>
      <c r="I413" s="4" t="str">
        <f aca="false">IF(H413="","No",IF(H413&lt;=0,"No","Yes"))</f>
        <v>Yes</v>
      </c>
      <c r="J413" s="4" t="str">
        <f aca="false">Orders_Raw!E413</f>
        <v>Headphones</v>
      </c>
      <c r="K413" s="4" t="str">
        <f aca="false">Orders_Raw!H413</f>
        <v>2026-06-04 18:18</v>
      </c>
      <c r="L413" s="4" t="str">
        <f aca="false">IF(COUNTIF(Orders_Raw!$A$5:$A$539,A413)&gt;1,"YES","No")</f>
        <v>No</v>
      </c>
      <c r="M413" s="4" t="str">
        <f aca="false">IF(COUNTIFS($B$5:$B$539,B413,$D$5:$D$539,D413,$F$5:$F$539,F413)&gt;1,"YES","No")</f>
        <v>No</v>
      </c>
      <c r="N413" s="4" t="str">
        <f aca="false">IFERROR(INDEX(Customer_Master!$B$5:$B$64,MATCH(B413,Customer_Master!$A$5:$A$64,0)),"UNMATCHED")</f>
        <v>UNMATCHED</v>
      </c>
      <c r="O413" s="4" t="str">
        <f aca="false">IFERROR(INDEX(Customer_Master!$C$5:$C$64,MATCH(B413,Customer_Master!$A$5:$A$64,0)),"UNMATCHED")</f>
        <v>UNMATCHED</v>
      </c>
      <c r="P413" s="4" t="str">
        <f aca="false">IFERROR(INDEX(Customer_Master!$D$5:$D$64,MATCH(B413,Customer_Master!$A$5:$A$64,0)),"UNMATCHED")</f>
        <v>UNMATCHED</v>
      </c>
      <c r="Q413" s="4" t="str">
        <f aca="false">IF(N413="UNMATCHED","Unmatched","Matched")</f>
        <v>Unmatched</v>
      </c>
      <c r="R413" s="4" t="str">
        <f aca="false">IF(OR(E413="No",G413="No",I413="No",L413="YES",Q413="Unmatched"),"NEEDS REVIEW","OK")</f>
        <v>NEEDS REVIEW</v>
      </c>
    </row>
    <row r="414" customFormat="false" ht="15" hidden="false" customHeight="false" outlineLevel="0" collapsed="false">
      <c r="A414" s="4" t="str">
        <f aca="false">Orders_Raw!A414</f>
        <v>ORD00440</v>
      </c>
      <c r="B414" s="4" t="str">
        <f aca="false">TRIM(UPPER(Orders_Raw!B414))</f>
        <v>CUST0043</v>
      </c>
      <c r="C414" s="4" t="str">
        <f aca="false">PROPER(TRIM(Orders_Raw!C414))</f>
        <v>Grace Ajayi</v>
      </c>
      <c r="D414" s="6" t="str">
        <f aca="false">IFERROR(DATEVALUE(Orders_Raw!D414),"")</f>
        <v/>
      </c>
      <c r="E414" s="4" t="str">
        <f aca="false">IF(D414="","No","Yes")</f>
        <v>No</v>
      </c>
      <c r="F414" s="4" t="n">
        <f aca="false">IFERROR(VALUE(SUBSTITUTE(SUBSTITUTE(SUBSTITUTE(Orders_Raw!G414,"$",""),"NGN",""),",","")),"")</f>
        <v>741.85</v>
      </c>
      <c r="G414" s="4" t="str">
        <f aca="false">IF(F414="","No","Yes")</f>
        <v>Yes</v>
      </c>
      <c r="H414" s="4" t="str">
        <f aca="false">Orders_Raw!F414</f>
        <v>1</v>
      </c>
      <c r="I414" s="4" t="str">
        <f aca="false">IF(H414="","No",IF(H414&lt;=0,"No","Yes"))</f>
        <v>Yes</v>
      </c>
      <c r="J414" s="4" t="str">
        <f aca="false">Orders_Raw!E414</f>
        <v>Phone</v>
      </c>
      <c r="K414" s="4" t="str">
        <f aca="false">Orders_Raw!H414</f>
        <v>2026-01-28 13:31</v>
      </c>
      <c r="L414" s="4" t="str">
        <f aca="false">IF(COUNTIF(Orders_Raw!$A$5:$A$539,A414)&gt;1,"YES","No")</f>
        <v>No</v>
      </c>
      <c r="M414" s="4" t="str">
        <f aca="false">IF(COUNTIFS($B$5:$B$539,B414,$D$5:$D$539,D414,$F$5:$F$539,F414)&gt;1,"YES","No")</f>
        <v>No</v>
      </c>
      <c r="N414" s="4" t="str">
        <f aca="false">IFERROR(INDEX(Customer_Master!$B$5:$B$64,MATCH(B414,Customer_Master!$A$5:$A$64,0)),"UNMATCHED")</f>
        <v>Grace Ajayi</v>
      </c>
      <c r="O414" s="4" t="str">
        <f aca="false">IFERROR(INDEX(Customer_Master!$C$5:$C$64,MATCH(B414,Customer_Master!$A$5:$A$64,0)),"UNMATCHED")</f>
        <v>New</v>
      </c>
      <c r="P414" s="4" t="str">
        <f aca="false">IFERROR(INDEX(Customer_Master!$D$5:$D$64,MATCH(B414,Customer_Master!$A$5:$A$64,0)),"UNMATCHED")</f>
        <v>Abuja</v>
      </c>
      <c r="Q414" s="4" t="str">
        <f aca="false">IF(N414="UNMATCHED","Unmatched","Matched")</f>
        <v>Matched</v>
      </c>
      <c r="R414" s="4" t="str">
        <f aca="false">IF(OR(E414="No",G414="No",I414="No",L414="YES",Q414="Unmatched"),"NEEDS REVIEW","OK")</f>
        <v>NEEDS REVIEW</v>
      </c>
    </row>
    <row r="415" customFormat="false" ht="15" hidden="false" customHeight="false" outlineLevel="0" collapsed="false">
      <c r="A415" s="4" t="str">
        <f aca="false">Orders_Raw!A415</f>
        <v>ORD00300</v>
      </c>
      <c r="B415" s="4" t="str">
        <f aca="false">TRIM(UPPER(Orders_Raw!B415))</f>
        <v>CUST0022</v>
      </c>
      <c r="C415" s="4" t="str">
        <f aca="false">PROPER(TRIM(Orders_Raw!C415))</f>
        <v>Musa Sani</v>
      </c>
      <c r="D415" s="6" t="n">
        <f aca="false">IFERROR(DATEVALUE(Orders_Raw!D415),"")</f>
        <v>46140</v>
      </c>
      <c r="E415" s="4" t="str">
        <f aca="false">IF(D415="","No","Yes")</f>
        <v>Yes</v>
      </c>
      <c r="F415" s="4" t="n">
        <f aca="false">IFERROR(VALUE(SUBSTITUTE(SUBSTITUTE(SUBSTITUTE(Orders_Raw!G415,"$",""),"NGN",""),",","")),"")</f>
        <v>801.21</v>
      </c>
      <c r="G415" s="4" t="str">
        <f aca="false">IF(F415="","No","Yes")</f>
        <v>Yes</v>
      </c>
      <c r="H415" s="4" t="str">
        <f aca="false">Orders_Raw!F415</f>
        <v>5</v>
      </c>
      <c r="I415" s="4" t="str">
        <f aca="false">IF(H415="","No",IF(H415&lt;=0,"No","Yes"))</f>
        <v>Yes</v>
      </c>
      <c r="J415" s="4" t="str">
        <f aca="false">Orders_Raw!E415</f>
        <v>Headphones</v>
      </c>
      <c r="K415" s="4" t="str">
        <f aca="false">Orders_Raw!H415</f>
        <v>2026-04-28 13:40</v>
      </c>
      <c r="L415" s="4" t="str">
        <f aca="false">IF(COUNTIF(Orders_Raw!$A$5:$A$539,A415)&gt;1,"YES","No")</f>
        <v>No</v>
      </c>
      <c r="M415" s="4" t="str">
        <f aca="false">IF(COUNTIFS($B$5:$B$539,B415,$D$5:$D$539,D415,$F$5:$F$539,F415)&gt;1,"YES","No")</f>
        <v>No</v>
      </c>
      <c r="N415" s="4" t="str">
        <f aca="false">IFERROR(INDEX(Customer_Master!$B$5:$B$64,MATCH(B415,Customer_Master!$A$5:$A$64,0)),"UNMATCHED")</f>
        <v>Musa Sani</v>
      </c>
      <c r="O415" s="4" t="str">
        <f aca="false">IFERROR(INDEX(Customer_Master!$C$5:$C$64,MATCH(B415,Customer_Master!$A$5:$A$64,0)),"UNMATCHED")</f>
        <v>New</v>
      </c>
      <c r="P415" s="4" t="str">
        <f aca="false">IFERROR(INDEX(Customer_Master!$D$5:$D$64,MATCH(B415,Customer_Master!$A$5:$A$64,0)),"UNMATCHED")</f>
        <v>Kano</v>
      </c>
      <c r="Q415" s="4" t="str">
        <f aca="false">IF(N415="UNMATCHED","Unmatched","Matched")</f>
        <v>Matched</v>
      </c>
      <c r="R415" s="4" t="str">
        <f aca="false">IF(OR(E415="No",G415="No",I415="No",L415="YES",Q415="Unmatched"),"NEEDS REVIEW","OK")</f>
        <v>OK</v>
      </c>
    </row>
    <row r="416" customFormat="false" ht="15" hidden="false" customHeight="false" outlineLevel="0" collapsed="false">
      <c r="A416" s="4" t="str">
        <f aca="false">Orders_Raw!A416</f>
        <v>ORD00242</v>
      </c>
      <c r="B416" s="4" t="str">
        <f aca="false">TRIM(UPPER(Orders_Raw!B416))</f>
        <v>CUST0058</v>
      </c>
      <c r="C416" s="4" t="str">
        <f aca="false">PROPER(TRIM(Orders_Raw!C416))</f>
        <v>Blessing Balogun</v>
      </c>
      <c r="D416" s="6" t="str">
        <f aca="false">IFERROR(DATEVALUE(Orders_Raw!D416),"")</f>
        <v/>
      </c>
      <c r="E416" s="4" t="str">
        <f aca="false">IF(D416="","No","Yes")</f>
        <v>No</v>
      </c>
      <c r="F416" s="4" t="n">
        <f aca="false">IFERROR(VALUE(SUBSTITUTE(SUBSTITUTE(SUBSTITUTE(Orders_Raw!G416,"$",""),"NGN",""),",","")),"")</f>
        <v>668.43</v>
      </c>
      <c r="G416" s="4" t="str">
        <f aca="false">IF(F416="","No","Yes")</f>
        <v>Yes</v>
      </c>
      <c r="H416" s="4" t="str">
        <f aca="false">Orders_Raw!F416</f>
        <v>4</v>
      </c>
      <c r="I416" s="4" t="str">
        <f aca="false">IF(H416="","No",IF(H416&lt;=0,"No","Yes"))</f>
        <v>Yes</v>
      </c>
      <c r="J416" s="4" t="str">
        <f aca="false">Orders_Raw!E416</f>
        <v>Keyboard</v>
      </c>
      <c r="K416" s="4" t="str">
        <f aca="false">Orders_Raw!H416</f>
        <v>2026-05-15 08:31</v>
      </c>
      <c r="L416" s="4" t="str">
        <f aca="false">IF(COUNTIF(Orders_Raw!$A$5:$A$539,A416)&gt;1,"YES","No")</f>
        <v>No</v>
      </c>
      <c r="M416" s="4" t="str">
        <f aca="false">IF(COUNTIFS($B$5:$B$539,B416,$D$5:$D$539,D416,$F$5:$F$539,F416)&gt;1,"YES","No")</f>
        <v>No</v>
      </c>
      <c r="N416" s="4" t="str">
        <f aca="false">IFERROR(INDEX(Customer_Master!$B$5:$B$64,MATCH(B416,Customer_Master!$A$5:$A$64,0)),"UNMATCHED")</f>
        <v>Blessing Balogun</v>
      </c>
      <c r="O416" s="4" t="str">
        <f aca="false">IFERROR(INDEX(Customer_Master!$C$5:$C$64,MATCH(B416,Customer_Master!$A$5:$A$64,0)),"UNMATCHED")</f>
        <v>Lost / Low-Value</v>
      </c>
      <c r="P416" s="4" t="str">
        <f aca="false">IFERROR(INDEX(Customer_Master!$D$5:$D$64,MATCH(B416,Customer_Master!$A$5:$A$64,0)),"UNMATCHED")</f>
        <v>Lagos</v>
      </c>
      <c r="Q416" s="4" t="str">
        <f aca="false">IF(N416="UNMATCHED","Unmatched","Matched")</f>
        <v>Matched</v>
      </c>
      <c r="R416" s="4" t="str">
        <f aca="false">IF(OR(E416="No",G416="No",I416="No",L416="YES",Q416="Unmatched"),"NEEDS REVIEW","OK")</f>
        <v>NEEDS REVIEW</v>
      </c>
    </row>
    <row r="417" customFormat="false" ht="15" hidden="false" customHeight="false" outlineLevel="0" collapsed="false">
      <c r="A417" s="4" t="str">
        <f aca="false">Orders_Raw!A417</f>
        <v>ORD00038</v>
      </c>
      <c r="B417" s="4" t="str">
        <f aca="false">TRIM(UPPER(Orders_Raw!B417))</f>
        <v>CUST0028</v>
      </c>
      <c r="C417" s="4" t="str">
        <f aca="false">PROPER(TRIM(Orders_Raw!C417))</f>
        <v>James Adamu</v>
      </c>
      <c r="D417" s="6" t="n">
        <f aca="false">IFERROR(DATEVALUE(Orders_Raw!D417),"")</f>
        <v>46204</v>
      </c>
      <c r="E417" s="4" t="str">
        <f aca="false">IF(D417="","No","Yes")</f>
        <v>Yes</v>
      </c>
      <c r="F417" s="4" t="n">
        <f aca="false">IFERROR(VALUE(SUBSTITUTE(SUBSTITUTE(SUBSTITUTE(Orders_Raw!G417,"$",""),"NGN",""),",","")),"")</f>
        <v>1097.19</v>
      </c>
      <c r="G417" s="4" t="str">
        <f aca="false">IF(F417="","No","Yes")</f>
        <v>Yes</v>
      </c>
      <c r="H417" s="4" t="str">
        <f aca="false">Orders_Raw!F417</f>
        <v>4</v>
      </c>
      <c r="I417" s="4" t="str">
        <f aca="false">IF(H417="","No",IF(H417&lt;=0,"No","Yes"))</f>
        <v>Yes</v>
      </c>
      <c r="J417" s="4" t="str">
        <f aca="false">Orders_Raw!E417</f>
        <v>Tablet</v>
      </c>
      <c r="K417" s="4" t="str">
        <f aca="false">Orders_Raw!H417</f>
        <v>2026-07-01 15:29</v>
      </c>
      <c r="L417" s="4" t="str">
        <f aca="false">IF(COUNTIF(Orders_Raw!$A$5:$A$539,A417)&gt;1,"YES","No")</f>
        <v>No</v>
      </c>
      <c r="M417" s="4" t="str">
        <f aca="false">IF(COUNTIFS($B$5:$B$539,B417,$D$5:$D$539,D417,$F$5:$F$539,F417)&gt;1,"YES","No")</f>
        <v>No</v>
      </c>
      <c r="N417" s="4" t="str">
        <f aca="false">IFERROR(INDEX(Customer_Master!$B$5:$B$64,MATCH(B417,Customer_Master!$A$5:$A$64,0)),"UNMATCHED")</f>
        <v>James Adamu</v>
      </c>
      <c r="O417" s="4" t="str">
        <f aca="false">IFERROR(INDEX(Customer_Master!$C$5:$C$64,MATCH(B417,Customer_Master!$A$5:$A$64,0)),"UNMATCHED")</f>
        <v>New</v>
      </c>
      <c r="P417" s="4" t="str">
        <f aca="false">IFERROR(INDEX(Customer_Master!$D$5:$D$64,MATCH(B417,Customer_Master!$A$5:$A$64,0)),"UNMATCHED")</f>
        <v>Ibadan</v>
      </c>
      <c r="Q417" s="4" t="str">
        <f aca="false">IF(N417="UNMATCHED","Unmatched","Matched")</f>
        <v>Matched</v>
      </c>
      <c r="R417" s="4" t="str">
        <f aca="false">IF(OR(E417="No",G417="No",I417="No",L417="YES",Q417="Unmatched"),"NEEDS REVIEW","OK")</f>
        <v>OK</v>
      </c>
    </row>
    <row r="418" customFormat="false" ht="15" hidden="false" customHeight="false" outlineLevel="0" collapsed="false">
      <c r="A418" s="4" t="str">
        <f aca="false">Orders_Raw!A418</f>
        <v>ORD00482</v>
      </c>
      <c r="B418" s="4" t="str">
        <f aca="false">TRIM(UPPER(Orders_Raw!B418))</f>
        <v>CUST0023</v>
      </c>
      <c r="C418" s="4" t="str">
        <f aca="false">PROPER(TRIM(Orders_Raw!C418))</f>
        <v>Chidi Umeh</v>
      </c>
      <c r="D418" s="6" t="n">
        <f aca="false">IFERROR(DATEVALUE(Orders_Raw!D418),"")</f>
        <v>46331</v>
      </c>
      <c r="E418" s="4" t="str">
        <f aca="false">IF(D418="","No","Yes")</f>
        <v>Yes</v>
      </c>
      <c r="F418" s="4" t="n">
        <f aca="false">IFERROR(VALUE(SUBSTITUTE(SUBSTITUTE(SUBSTITUTE(Orders_Raw!G418,"$",""),"NGN",""),",","")),"")</f>
        <v>1023.13</v>
      </c>
      <c r="G418" s="4" t="str">
        <f aca="false">IF(F418="","No","Yes")</f>
        <v>Yes</v>
      </c>
      <c r="H418" s="4" t="str">
        <f aca="false">Orders_Raw!F418</f>
        <v>2</v>
      </c>
      <c r="I418" s="4" t="str">
        <f aca="false">IF(H418="","No",IF(H418&lt;=0,"No","Yes"))</f>
        <v>Yes</v>
      </c>
      <c r="J418" s="4" t="str">
        <f aca="false">Orders_Raw!E418</f>
        <v>Mouse</v>
      </c>
      <c r="K418" s="4" t="str">
        <f aca="false">Orders_Raw!H418</f>
        <v>2026-05-11 16:29</v>
      </c>
      <c r="L418" s="4" t="str">
        <f aca="false">IF(COUNTIF(Orders_Raw!$A$5:$A$539,A418)&gt;1,"YES","No")</f>
        <v>No</v>
      </c>
      <c r="M418" s="4" t="str">
        <f aca="false">IF(COUNTIFS($B$5:$B$539,B418,$D$5:$D$539,D418,$F$5:$F$539,F418)&gt;1,"YES","No")</f>
        <v>No</v>
      </c>
      <c r="N418" s="4" t="str">
        <f aca="false">IFERROR(INDEX(Customer_Master!$B$5:$B$64,MATCH(B418,Customer_Master!$A$5:$A$64,0)),"UNMATCHED")</f>
        <v>Chidi Umeh</v>
      </c>
      <c r="O418" s="4" t="str">
        <f aca="false">IFERROR(INDEX(Customer_Master!$C$5:$C$64,MATCH(B418,Customer_Master!$A$5:$A$64,0)),"UNMATCHED")</f>
        <v>Champions</v>
      </c>
      <c r="P418" s="4" t="str">
        <f aca="false">IFERROR(INDEX(Customer_Master!$D$5:$D$64,MATCH(B418,Customer_Master!$A$5:$A$64,0)),"UNMATCHED")</f>
        <v>Kano</v>
      </c>
      <c r="Q418" s="4" t="str">
        <f aca="false">IF(N418="UNMATCHED","Unmatched","Matched")</f>
        <v>Matched</v>
      </c>
      <c r="R418" s="4" t="str">
        <f aca="false">IF(OR(E418="No",G418="No",I418="No",L418="YES",Q418="Unmatched"),"NEEDS REVIEW","OK")</f>
        <v>OK</v>
      </c>
    </row>
    <row r="419" customFormat="false" ht="15" hidden="false" customHeight="false" outlineLevel="0" collapsed="false">
      <c r="A419" s="4" t="str">
        <f aca="false">Orders_Raw!A419</f>
        <v>ORD00193</v>
      </c>
      <c r="B419" s="4" t="str">
        <f aca="false">TRIM(UPPER(Orders_Raw!B419))</f>
        <v>CUST0053</v>
      </c>
      <c r="C419" s="4" t="str">
        <f aca="false">PROPER(TRIM(Orders_Raw!C419))</f>
        <v>Comfort Adeyemi</v>
      </c>
      <c r="D419" s="6" t="n">
        <f aca="false">IFERROR(DATEVALUE(Orders_Raw!D419),"")</f>
        <v>46042</v>
      </c>
      <c r="E419" s="4" t="str">
        <f aca="false">IF(D419="","No","Yes")</f>
        <v>Yes</v>
      </c>
      <c r="F419" s="4" t="n">
        <f aca="false">IFERROR(VALUE(SUBSTITUTE(SUBSTITUTE(SUBSTITUTE(Orders_Raw!G419,"$",""),"NGN",""),",","")),"")</f>
        <v>418.69</v>
      </c>
      <c r="G419" s="4" t="str">
        <f aca="false">IF(F419="","No","Yes")</f>
        <v>Yes</v>
      </c>
      <c r="H419" s="4" t="str">
        <f aca="false">Orders_Raw!F419</f>
        <v>3</v>
      </c>
      <c r="I419" s="4" t="str">
        <f aca="false">IF(H419="","No",IF(H419&lt;=0,"No","Yes"))</f>
        <v>Yes</v>
      </c>
      <c r="J419" s="4" t="str">
        <f aca="false">Orders_Raw!E419</f>
        <v>Tablet</v>
      </c>
      <c r="K419" s="4" t="str">
        <f aca="false">Orders_Raw!H419</f>
        <v>2026-01-20 13:24</v>
      </c>
      <c r="L419" s="4" t="str">
        <f aca="false">IF(COUNTIF(Orders_Raw!$A$5:$A$539,A419)&gt;1,"YES","No")</f>
        <v>No</v>
      </c>
      <c r="M419" s="4" t="str">
        <f aca="false">IF(COUNTIFS($B$5:$B$539,B419,$D$5:$D$539,D419,$F$5:$F$539,F419)&gt;1,"YES","No")</f>
        <v>No</v>
      </c>
      <c r="N419" s="4" t="str">
        <f aca="false">IFERROR(INDEX(Customer_Master!$B$5:$B$64,MATCH(B419,Customer_Master!$A$5:$A$64,0)),"UNMATCHED")</f>
        <v>Comfort Adeyemi</v>
      </c>
      <c r="O419" s="4" t="str">
        <f aca="false">IFERROR(INDEX(Customer_Master!$C$5:$C$64,MATCH(B419,Customer_Master!$A$5:$A$64,0)),"UNMATCHED")</f>
        <v>At Risk</v>
      </c>
      <c r="P419" s="4" t="str">
        <f aca="false">IFERROR(INDEX(Customer_Master!$D$5:$D$64,MATCH(B419,Customer_Master!$A$5:$A$64,0)),"UNMATCHED")</f>
        <v>Abuja</v>
      </c>
      <c r="Q419" s="4" t="str">
        <f aca="false">IF(N419="UNMATCHED","Unmatched","Matched")</f>
        <v>Matched</v>
      </c>
      <c r="R419" s="4" t="str">
        <f aca="false">IF(OR(E419="No",G419="No",I419="No",L419="YES",Q419="Unmatched"),"NEEDS REVIEW","OK")</f>
        <v>OK</v>
      </c>
    </row>
    <row r="420" customFormat="false" ht="15" hidden="false" customHeight="false" outlineLevel="0" collapsed="false">
      <c r="A420" s="4" t="str">
        <f aca="false">Orders_Raw!A420</f>
        <v>ORD00173</v>
      </c>
      <c r="B420" s="4" t="str">
        <f aca="false">TRIM(UPPER(Orders_Raw!B420))</f>
        <v>CUST0002</v>
      </c>
      <c r="C420" s="4" t="str">
        <f aca="false">PROPER(TRIM(Orders_Raw!C420))</f>
        <v>Tunde Ajayi</v>
      </c>
      <c r="D420" s="6" t="n">
        <f aca="false">IFERROR(DATEVALUE(Orders_Raw!D420),"")</f>
        <v>46195</v>
      </c>
      <c r="E420" s="4" t="str">
        <f aca="false">IF(D420="","No","Yes")</f>
        <v>Yes</v>
      </c>
      <c r="F420" s="4" t="n">
        <f aca="false">IFERROR(VALUE(SUBSTITUTE(SUBSTITUTE(SUBSTITUTE(Orders_Raw!G420,"$",""),"NGN",""),",","")),"")</f>
        <v>1068.96</v>
      </c>
      <c r="G420" s="4" t="str">
        <f aca="false">IF(F420="","No","Yes")</f>
        <v>Yes</v>
      </c>
      <c r="H420" s="4" t="str">
        <f aca="false">Orders_Raw!F420</f>
        <v>5</v>
      </c>
      <c r="I420" s="4" t="str">
        <f aca="false">IF(H420="","No",IF(H420&lt;=0,"No","Yes"))</f>
        <v>Yes</v>
      </c>
      <c r="J420" s="4" t="str">
        <f aca="false">Orders_Raw!E420</f>
        <v>Headphones</v>
      </c>
      <c r="K420" s="4" t="str">
        <f aca="false">Orders_Raw!H420</f>
        <v>2026-06-22 12:12</v>
      </c>
      <c r="L420" s="4" t="str">
        <f aca="false">IF(COUNTIF(Orders_Raw!$A$5:$A$539,A420)&gt;1,"YES","No")</f>
        <v>YES</v>
      </c>
      <c r="M420" s="4" t="str">
        <f aca="false">IF(COUNTIFS($B$5:$B$539,B420,$D$5:$D$539,D420,$F$5:$F$539,F420)&gt;1,"YES","No")</f>
        <v>YES</v>
      </c>
      <c r="N420" s="4" t="str">
        <f aca="false">IFERROR(INDEX(Customer_Master!$B$5:$B$64,MATCH(B420,Customer_Master!$A$5:$A$64,0)),"UNMATCHED")</f>
        <v>Tunde Ajayi</v>
      </c>
      <c r="O420" s="4" t="str">
        <f aca="false">IFERROR(INDEX(Customer_Master!$C$5:$C$64,MATCH(B420,Customer_Master!$A$5:$A$64,0)),"UNMATCHED")</f>
        <v>Loyal</v>
      </c>
      <c r="P420" s="4" t="str">
        <f aca="false">IFERROR(INDEX(Customer_Master!$D$5:$D$64,MATCH(B420,Customer_Master!$A$5:$A$64,0)),"UNMATCHED")</f>
        <v>Abuja</v>
      </c>
      <c r="Q420" s="4" t="str">
        <f aca="false">IF(N420="UNMATCHED","Unmatched","Matched")</f>
        <v>Matched</v>
      </c>
      <c r="R420" s="4" t="str">
        <f aca="false">IF(OR(E420="No",G420="No",I420="No",L420="YES",Q420="Unmatched"),"NEEDS REVIEW","OK")</f>
        <v>NEEDS REVIEW</v>
      </c>
    </row>
    <row r="421" customFormat="false" ht="15" hidden="false" customHeight="false" outlineLevel="0" collapsed="false">
      <c r="A421" s="4" t="str">
        <f aca="false">Orders_Raw!A421</f>
        <v>ORD00518</v>
      </c>
      <c r="B421" s="4" t="str">
        <f aca="false">TRIM(UPPER(Orders_Raw!B421))</f>
        <v>CUST0034</v>
      </c>
      <c r="C421" s="4" t="str">
        <f aca="false">PROPER(TRIM(Orders_Raw!C421))</f>
        <v>Samuel Sani</v>
      </c>
      <c r="D421" s="6" t="n">
        <f aca="false">IFERROR(DATEVALUE(Orders_Raw!D421),"")</f>
        <v>46061</v>
      </c>
      <c r="E421" s="4" t="str">
        <f aca="false">IF(D421="","No","Yes")</f>
        <v>Yes</v>
      </c>
      <c r="F421" s="4" t="n">
        <f aca="false">IFERROR(VALUE(SUBSTITUTE(SUBSTITUTE(SUBSTITUTE(Orders_Raw!G421,"$",""),"NGN",""),",","")),"")</f>
        <v>593.97</v>
      </c>
      <c r="G421" s="4" t="str">
        <f aca="false">IF(F421="","No","Yes")</f>
        <v>Yes</v>
      </c>
      <c r="H421" s="4" t="str">
        <f aca="false">Orders_Raw!F421</f>
        <v>1</v>
      </c>
      <c r="I421" s="4" t="str">
        <f aca="false">IF(H421="","No",IF(H421&lt;=0,"No","Yes"))</f>
        <v>Yes</v>
      </c>
      <c r="J421" s="4" t="str">
        <f aca="false">Orders_Raw!E421</f>
        <v>Laptop</v>
      </c>
      <c r="K421" s="4" t="str">
        <f aca="false">Orders_Raw!H421</f>
        <v>2026-02-08 15:58</v>
      </c>
      <c r="L421" s="4" t="str">
        <f aca="false">IF(COUNTIF(Orders_Raw!$A$5:$A$539,A421)&gt;1,"YES","No")</f>
        <v>No</v>
      </c>
      <c r="M421" s="4" t="str">
        <f aca="false">IF(COUNTIFS($B$5:$B$539,B421,$D$5:$D$539,D421,$F$5:$F$539,F421)&gt;1,"YES","No")</f>
        <v>No</v>
      </c>
      <c r="N421" s="4" t="str">
        <f aca="false">IFERROR(INDEX(Customer_Master!$B$5:$B$64,MATCH(B421,Customer_Master!$A$5:$A$64,0)),"UNMATCHED")</f>
        <v>Samuel Sani</v>
      </c>
      <c r="O421" s="4" t="str">
        <f aca="false">IFERROR(INDEX(Customer_Master!$C$5:$C$64,MATCH(B421,Customer_Master!$A$5:$A$64,0)),"UNMATCHED")</f>
        <v>New</v>
      </c>
      <c r="P421" s="4" t="str">
        <f aca="false">IFERROR(INDEX(Customer_Master!$D$5:$D$64,MATCH(B421,Customer_Master!$A$5:$A$64,0)),"UNMATCHED")</f>
        <v>Lagos</v>
      </c>
      <c r="Q421" s="4" t="str">
        <f aca="false">IF(N421="UNMATCHED","Unmatched","Matched")</f>
        <v>Matched</v>
      </c>
      <c r="R421" s="4" t="str">
        <f aca="false">IF(OR(E421="No",G421="No",I421="No",L421="YES",Q421="Unmatched"),"NEEDS REVIEW","OK")</f>
        <v>OK</v>
      </c>
    </row>
    <row r="422" customFormat="false" ht="15" hidden="false" customHeight="false" outlineLevel="0" collapsed="false">
      <c r="A422" s="4" t="str">
        <f aca="false">Orders_Raw!A422</f>
        <v>ORD00378</v>
      </c>
      <c r="B422" s="4" t="str">
        <f aca="false">TRIM(UPPER(Orders_Raw!B422))</f>
        <v>CUST0048</v>
      </c>
      <c r="C422" s="4" t="str">
        <f aca="false">PROPER(TRIM(Orders_Raw!C422))</f>
        <v>Musa Chukwu</v>
      </c>
      <c r="D422" s="6" t="n">
        <f aca="false">IFERROR(DATEVALUE(Orders_Raw!D422),"")</f>
        <v>46163</v>
      </c>
      <c r="E422" s="4" t="str">
        <f aca="false">IF(D422="","No","Yes")</f>
        <v>Yes</v>
      </c>
      <c r="F422" s="4" t="n">
        <f aca="false">IFERROR(VALUE(SUBSTITUTE(SUBSTITUTE(SUBSTITUTE(Orders_Raw!G422,"$",""),"NGN",""),",","")),"")</f>
        <v>1819.45</v>
      </c>
      <c r="G422" s="4" t="str">
        <f aca="false">IF(F422="","No","Yes")</f>
        <v>Yes</v>
      </c>
      <c r="H422" s="4" t="str">
        <f aca="false">Orders_Raw!F422</f>
        <v>3</v>
      </c>
      <c r="I422" s="4" t="str">
        <f aca="false">IF(H422="","No",IF(H422&lt;=0,"No","Yes"))</f>
        <v>Yes</v>
      </c>
      <c r="J422" s="4" t="str">
        <f aca="false">Orders_Raw!E422</f>
        <v>Mouse</v>
      </c>
      <c r="K422" s="4" t="str">
        <f aca="false">Orders_Raw!H422</f>
        <v>2026-05-21 11:38</v>
      </c>
      <c r="L422" s="4" t="str">
        <f aca="false">IF(COUNTIF(Orders_Raw!$A$5:$A$539,A422)&gt;1,"YES","No")</f>
        <v>No</v>
      </c>
      <c r="M422" s="4" t="str">
        <f aca="false">IF(COUNTIFS($B$5:$B$539,B422,$D$5:$D$539,D422,$F$5:$F$539,F422)&gt;1,"YES","No")</f>
        <v>No</v>
      </c>
      <c r="N422" s="4" t="str">
        <f aca="false">IFERROR(INDEX(Customer_Master!$B$5:$B$64,MATCH(B422,Customer_Master!$A$5:$A$64,0)),"UNMATCHED")</f>
        <v>Musa Chukwu</v>
      </c>
      <c r="O422" s="4" t="str">
        <f aca="false">IFERROR(INDEX(Customer_Master!$C$5:$C$64,MATCH(B422,Customer_Master!$A$5:$A$64,0)),"UNMATCHED")</f>
        <v>Lost / Low-Value</v>
      </c>
      <c r="P422" s="4" t="str">
        <f aca="false">IFERROR(INDEX(Customer_Master!$D$5:$D$64,MATCH(B422,Customer_Master!$A$5:$A$64,0)),"UNMATCHED")</f>
        <v>Kaduna</v>
      </c>
      <c r="Q422" s="4" t="str">
        <f aca="false">IF(N422="UNMATCHED","Unmatched","Matched")</f>
        <v>Matched</v>
      </c>
      <c r="R422" s="4" t="str">
        <f aca="false">IF(OR(E422="No",G422="No",I422="No",L422="YES",Q422="Unmatched"),"NEEDS REVIEW","OK")</f>
        <v>OK</v>
      </c>
    </row>
    <row r="423" customFormat="false" ht="15" hidden="false" customHeight="false" outlineLevel="0" collapsed="false">
      <c r="A423" s="4" t="str">
        <f aca="false">Orders_Raw!A423</f>
        <v>ORD00122</v>
      </c>
      <c r="B423" s="4" t="str">
        <f aca="false">TRIM(UPPER(Orders_Raw!B423))</f>
        <v>CUST0035</v>
      </c>
      <c r="C423" s="4" t="str">
        <f aca="false">PROPER(TRIM(Orders_Raw!C423))</f>
        <v>Chidi Lawal</v>
      </c>
      <c r="D423" s="6" t="str">
        <f aca="false">IFERROR(DATEVALUE(Orders_Raw!D423),"")</f>
        <v/>
      </c>
      <c r="E423" s="4" t="str">
        <f aca="false">IF(D423="","No","Yes")</f>
        <v>No</v>
      </c>
      <c r="F423" s="4" t="n">
        <f aca="false">IFERROR(VALUE(SUBSTITUTE(SUBSTITUTE(SUBSTITUTE(Orders_Raw!G423,"$",""),"NGN",""),",","")),"")</f>
        <v>2452.34</v>
      </c>
      <c r="G423" s="4" t="str">
        <f aca="false">IF(F423="","No","Yes")</f>
        <v>Yes</v>
      </c>
      <c r="H423" s="4" t="str">
        <f aca="false">Orders_Raw!F423</f>
        <v>4</v>
      </c>
      <c r="I423" s="4" t="str">
        <f aca="false">IF(H423="","No",IF(H423&lt;=0,"No","Yes"))</f>
        <v>Yes</v>
      </c>
      <c r="J423" s="4" t="str">
        <f aca="false">Orders_Raw!E423</f>
        <v>Printer</v>
      </c>
      <c r="K423" s="4" t="str">
        <f aca="false">Orders_Raw!H423</f>
        <v>2026-07-19 08:18</v>
      </c>
      <c r="L423" s="4" t="str">
        <f aca="false">IF(COUNTIF(Orders_Raw!$A$5:$A$539,A423)&gt;1,"YES","No")</f>
        <v>No</v>
      </c>
      <c r="M423" s="4" t="str">
        <f aca="false">IF(COUNTIFS($B$5:$B$539,B423,$D$5:$D$539,D423,$F$5:$F$539,F423)&gt;1,"YES","No")</f>
        <v>No</v>
      </c>
      <c r="N423" s="4" t="str">
        <f aca="false">IFERROR(INDEX(Customer_Master!$B$5:$B$64,MATCH(B423,Customer_Master!$A$5:$A$64,0)),"UNMATCHED")</f>
        <v>Chidi Lawal</v>
      </c>
      <c r="O423" s="4" t="str">
        <f aca="false">IFERROR(INDEX(Customer_Master!$C$5:$C$64,MATCH(B423,Customer_Master!$A$5:$A$64,0)),"UNMATCHED")</f>
        <v>New</v>
      </c>
      <c r="P423" s="4" t="str">
        <f aca="false">IFERROR(INDEX(Customer_Master!$D$5:$D$64,MATCH(B423,Customer_Master!$A$5:$A$64,0)),"UNMATCHED")</f>
        <v>Ibadan</v>
      </c>
      <c r="Q423" s="4" t="str">
        <f aca="false">IF(N423="UNMATCHED","Unmatched","Matched")</f>
        <v>Matched</v>
      </c>
      <c r="R423" s="4" t="str">
        <f aca="false">IF(OR(E423="No",G423="No",I423="No",L423="YES",Q423="Unmatched"),"NEEDS REVIEW","OK")</f>
        <v>NEEDS REVIEW</v>
      </c>
    </row>
    <row r="424" customFormat="false" ht="15" hidden="false" customHeight="false" outlineLevel="0" collapsed="false">
      <c r="A424" s="4" t="str">
        <f aca="false">Orders_Raw!A424</f>
        <v>ORD00051</v>
      </c>
      <c r="B424" s="4" t="str">
        <f aca="false">TRIM(UPPER(Orders_Raw!B424))</f>
        <v>CUST0035</v>
      </c>
      <c r="C424" s="4" t="str">
        <f aca="false">PROPER(TRIM(Orders_Raw!C424))</f>
        <v>Chidi Lawal</v>
      </c>
      <c r="D424" s="6" t="n">
        <f aca="false">IFERROR(DATEVALUE(Orders_Raw!D424),"")</f>
        <v>46091</v>
      </c>
      <c r="E424" s="4" t="str">
        <f aca="false">IF(D424="","No","Yes")</f>
        <v>Yes</v>
      </c>
      <c r="F424" s="4" t="n">
        <f aca="false">IFERROR(VALUE(SUBSTITUTE(SUBSTITUTE(SUBSTITUTE(Orders_Raw!G424,"$",""),"NGN",""),",","")),"")</f>
        <v>192.45</v>
      </c>
      <c r="G424" s="4" t="str">
        <f aca="false">IF(F424="","No","Yes")</f>
        <v>Yes</v>
      </c>
      <c r="H424" s="4" t="str">
        <f aca="false">Orders_Raw!F424</f>
        <v>5</v>
      </c>
      <c r="I424" s="4" t="str">
        <f aca="false">IF(H424="","No",IF(H424&lt;=0,"No","Yes"))</f>
        <v>Yes</v>
      </c>
      <c r="J424" s="4" t="str">
        <f aca="false">Orders_Raw!E424</f>
        <v>Speaker</v>
      </c>
      <c r="K424" s="4" t="str">
        <f aca="false">Orders_Raw!H424</f>
        <v>2026-03-10 12:28</v>
      </c>
      <c r="L424" s="4" t="str">
        <f aca="false">IF(COUNTIF(Orders_Raw!$A$5:$A$539,A424)&gt;1,"YES","No")</f>
        <v>No</v>
      </c>
      <c r="M424" s="4" t="str">
        <f aca="false">IF(COUNTIFS($B$5:$B$539,B424,$D$5:$D$539,D424,$F$5:$F$539,F424)&gt;1,"YES","No")</f>
        <v>No</v>
      </c>
      <c r="N424" s="4" t="str">
        <f aca="false">IFERROR(INDEX(Customer_Master!$B$5:$B$64,MATCH(B424,Customer_Master!$A$5:$A$64,0)),"UNMATCHED")</f>
        <v>Chidi Lawal</v>
      </c>
      <c r="O424" s="4" t="str">
        <f aca="false">IFERROR(INDEX(Customer_Master!$C$5:$C$64,MATCH(B424,Customer_Master!$A$5:$A$64,0)),"UNMATCHED")</f>
        <v>New</v>
      </c>
      <c r="P424" s="4" t="str">
        <f aca="false">IFERROR(INDEX(Customer_Master!$D$5:$D$64,MATCH(B424,Customer_Master!$A$5:$A$64,0)),"UNMATCHED")</f>
        <v>Ibadan</v>
      </c>
      <c r="Q424" s="4" t="str">
        <f aca="false">IF(N424="UNMATCHED","Unmatched","Matched")</f>
        <v>Matched</v>
      </c>
      <c r="R424" s="4" t="str">
        <f aca="false">IF(OR(E424="No",G424="No",I424="No",L424="YES",Q424="Unmatched"),"NEEDS REVIEW","OK")</f>
        <v>OK</v>
      </c>
    </row>
    <row r="425" customFormat="false" ht="15" hidden="false" customHeight="false" outlineLevel="0" collapsed="false">
      <c r="A425" s="4" t="str">
        <f aca="false">Orders_Raw!A425</f>
        <v>ORD00117</v>
      </c>
      <c r="B425" s="4" t="str">
        <f aca="false">TRIM(UPPER(Orders_Raw!B425))</f>
        <v>CUST0046</v>
      </c>
      <c r="C425" s="4" t="str">
        <f aca="false">PROPER(TRIM(Orders_Raw!C425))</f>
        <v>Fatima Nnamdi</v>
      </c>
      <c r="D425" s="6" t="n">
        <f aca="false">IFERROR(DATEVALUE(Orders_Raw!D425),"")</f>
        <v>46054</v>
      </c>
      <c r="E425" s="4" t="str">
        <f aca="false">IF(D425="","No","Yes")</f>
        <v>Yes</v>
      </c>
      <c r="F425" s="4" t="n">
        <f aca="false">IFERROR(VALUE(SUBSTITUTE(SUBSTITUTE(SUBSTITUTE(Orders_Raw!G425,"$",""),"NGN",""),",","")),"")</f>
        <v>62.22</v>
      </c>
      <c r="G425" s="4" t="str">
        <f aca="false">IF(F425="","No","Yes")</f>
        <v>Yes</v>
      </c>
      <c r="H425" s="4" t="str">
        <f aca="false">Orders_Raw!F425</f>
        <v>5</v>
      </c>
      <c r="I425" s="4" t="str">
        <f aca="false">IF(H425="","No",IF(H425&lt;=0,"No","Yes"))</f>
        <v>Yes</v>
      </c>
      <c r="J425" s="4" t="str">
        <f aca="false">Orders_Raw!E425</f>
        <v>Speaker</v>
      </c>
      <c r="K425" s="4" t="str">
        <f aca="false">Orders_Raw!H425</f>
        <v>2026-01-02 16:27</v>
      </c>
      <c r="L425" s="4" t="str">
        <f aca="false">IF(COUNTIF(Orders_Raw!$A$5:$A$539,A425)&gt;1,"YES","No")</f>
        <v>No</v>
      </c>
      <c r="M425" s="4" t="str">
        <f aca="false">IF(COUNTIFS($B$5:$B$539,B425,$D$5:$D$539,D425,$F$5:$F$539,F425)&gt;1,"YES","No")</f>
        <v>No</v>
      </c>
      <c r="N425" s="4" t="str">
        <f aca="false">IFERROR(INDEX(Customer_Master!$B$5:$B$64,MATCH(B425,Customer_Master!$A$5:$A$64,0)),"UNMATCHED")</f>
        <v>Fatima Nnamdi</v>
      </c>
      <c r="O425" s="4" t="str">
        <f aca="false">IFERROR(INDEX(Customer_Master!$C$5:$C$64,MATCH(B425,Customer_Master!$A$5:$A$64,0)),"UNMATCHED")</f>
        <v>New</v>
      </c>
      <c r="P425" s="4" t="str">
        <f aca="false">IFERROR(INDEX(Customer_Master!$D$5:$D$64,MATCH(B425,Customer_Master!$A$5:$A$64,0)),"UNMATCHED")</f>
        <v>Enugu</v>
      </c>
      <c r="Q425" s="4" t="str">
        <f aca="false">IF(N425="UNMATCHED","Unmatched","Matched")</f>
        <v>Matched</v>
      </c>
      <c r="R425" s="4" t="str">
        <f aca="false">IF(OR(E425="No",G425="No",I425="No",L425="YES",Q425="Unmatched"),"NEEDS REVIEW","OK")</f>
        <v>OK</v>
      </c>
    </row>
    <row r="426" customFormat="false" ht="15" hidden="false" customHeight="false" outlineLevel="0" collapsed="false">
      <c r="A426" s="4" t="str">
        <f aca="false">Orders_Raw!A426</f>
        <v>ORD00426</v>
      </c>
      <c r="B426" s="4" t="str">
        <f aca="false">TRIM(UPPER(Orders_Raw!B426))</f>
        <v>CUST0003</v>
      </c>
      <c r="C426" s="4" t="str">
        <f aca="false">PROPER(TRIM(Orders_Raw!C426))</f>
        <v>Chidi Adamu</v>
      </c>
      <c r="D426" s="6" t="n">
        <f aca="false">IFERROR(DATEVALUE(Orders_Raw!D426),"")</f>
        <v>46027</v>
      </c>
      <c r="E426" s="4" t="str">
        <f aca="false">IF(D426="","No","Yes")</f>
        <v>Yes</v>
      </c>
      <c r="F426" s="4" t="n">
        <f aca="false">IFERROR(VALUE(SUBSTITUTE(SUBSTITUTE(SUBSTITUTE(Orders_Raw!G426,"$",""),"NGN",""),",","")),"")</f>
        <v>350.69</v>
      </c>
      <c r="G426" s="4" t="str">
        <f aca="false">IF(F426="","No","Yes")</f>
        <v>Yes</v>
      </c>
      <c r="H426" s="4" t="str">
        <f aca="false">Orders_Raw!F426</f>
        <v>1</v>
      </c>
      <c r="I426" s="4" t="str">
        <f aca="false">IF(H426="","No",IF(H426&lt;=0,"No","Yes"))</f>
        <v>Yes</v>
      </c>
      <c r="J426" s="4" t="str">
        <f aca="false">Orders_Raw!E426</f>
        <v>Keyboard</v>
      </c>
      <c r="K426" s="4" t="str">
        <f aca="false">Orders_Raw!H426</f>
        <v>2026-01-05 08:49</v>
      </c>
      <c r="L426" s="4" t="str">
        <f aca="false">IF(COUNTIF(Orders_Raw!$A$5:$A$539,A426)&gt;1,"YES","No")</f>
        <v>YES</v>
      </c>
      <c r="M426" s="4" t="str">
        <f aca="false">IF(COUNTIFS($B$5:$B$539,B426,$D$5:$D$539,D426,$F$5:$F$539,F426)&gt;1,"YES","No")</f>
        <v>YES</v>
      </c>
      <c r="N426" s="4" t="str">
        <f aca="false">IFERROR(INDEX(Customer_Master!$B$5:$B$64,MATCH(B426,Customer_Master!$A$5:$A$64,0)),"UNMATCHED")</f>
        <v>Chidi Adamu</v>
      </c>
      <c r="O426" s="4" t="str">
        <f aca="false">IFERROR(INDEX(Customer_Master!$C$5:$C$64,MATCH(B426,Customer_Master!$A$5:$A$64,0)),"UNMATCHED")</f>
        <v>Champions</v>
      </c>
      <c r="P426" s="4" t="str">
        <f aca="false">IFERROR(INDEX(Customer_Master!$D$5:$D$64,MATCH(B426,Customer_Master!$A$5:$A$64,0)),"UNMATCHED")</f>
        <v>Enugu</v>
      </c>
      <c r="Q426" s="4" t="str">
        <f aca="false">IF(N426="UNMATCHED","Unmatched","Matched")</f>
        <v>Matched</v>
      </c>
      <c r="R426" s="4" t="str">
        <f aca="false">IF(OR(E426="No",G426="No",I426="No",L426="YES",Q426="Unmatched"),"NEEDS REVIEW","OK")</f>
        <v>NEEDS REVIEW</v>
      </c>
    </row>
    <row r="427" customFormat="false" ht="15" hidden="false" customHeight="false" outlineLevel="0" collapsed="false">
      <c r="A427" s="4" t="str">
        <f aca="false">Orders_Raw!A427</f>
        <v>ORD00057</v>
      </c>
      <c r="B427" s="4" t="str">
        <f aca="false">TRIM(UPPER(Orders_Raw!B427))</f>
        <v>CUST0024</v>
      </c>
      <c r="C427" s="4" t="str">
        <f aca="false">PROPER(TRIM(Orders_Raw!C427))</f>
        <v>Aisha Adeyemi</v>
      </c>
      <c r="D427" s="6" t="n">
        <f aca="false">IFERROR(DATEVALUE(Orders_Raw!D427),"")</f>
        <v>46301</v>
      </c>
      <c r="E427" s="4" t="str">
        <f aca="false">IF(D427="","No","Yes")</f>
        <v>Yes</v>
      </c>
      <c r="F427" s="4" t="n">
        <f aca="false">IFERROR(VALUE(SUBSTITUTE(SUBSTITUTE(SUBSTITUTE(Orders_Raw!G427,"$",""),"NGN",""),",","")),"")</f>
        <v>1903.58</v>
      </c>
      <c r="G427" s="4" t="str">
        <f aca="false">IF(F427="","No","Yes")</f>
        <v>Yes</v>
      </c>
      <c r="H427" s="4" t="str">
        <f aca="false">Orders_Raw!F427</f>
        <v>2</v>
      </c>
      <c r="I427" s="4" t="str">
        <f aca="false">IF(H427="","No",IF(H427&lt;=0,"No","Yes"))</f>
        <v>Yes</v>
      </c>
      <c r="J427" s="4" t="str">
        <f aca="false">Orders_Raw!E427</f>
        <v>Printer</v>
      </c>
      <c r="K427" s="4" t="str">
        <f aca="false">Orders_Raw!H427</f>
        <v>2026-06-10 15:07</v>
      </c>
      <c r="L427" s="4" t="str">
        <f aca="false">IF(COUNTIF(Orders_Raw!$A$5:$A$539,A427)&gt;1,"YES","No")</f>
        <v>No</v>
      </c>
      <c r="M427" s="4" t="str">
        <f aca="false">IF(COUNTIFS($B$5:$B$539,B427,$D$5:$D$539,D427,$F$5:$F$539,F427)&gt;1,"YES","No")</f>
        <v>No</v>
      </c>
      <c r="N427" s="4" t="str">
        <f aca="false">IFERROR(INDEX(Customer_Master!$B$5:$B$64,MATCH(B427,Customer_Master!$A$5:$A$64,0)),"UNMATCHED")</f>
        <v>Aisha Adeyemi</v>
      </c>
      <c r="O427" s="4" t="str">
        <f aca="false">IFERROR(INDEX(Customer_Master!$C$5:$C$64,MATCH(B427,Customer_Master!$A$5:$A$64,0)),"UNMATCHED")</f>
        <v>At Risk</v>
      </c>
      <c r="P427" s="4" t="str">
        <f aca="false">IFERROR(INDEX(Customer_Master!$D$5:$D$64,MATCH(B427,Customer_Master!$A$5:$A$64,0)),"UNMATCHED")</f>
        <v>Enugu</v>
      </c>
      <c r="Q427" s="4" t="str">
        <f aca="false">IF(N427="UNMATCHED","Unmatched","Matched")</f>
        <v>Matched</v>
      </c>
      <c r="R427" s="4" t="str">
        <f aca="false">IF(OR(E427="No",G427="No",I427="No",L427="YES",Q427="Unmatched"),"NEEDS REVIEW","OK")</f>
        <v>OK</v>
      </c>
    </row>
    <row r="428" customFormat="false" ht="15" hidden="false" customHeight="false" outlineLevel="0" collapsed="false">
      <c r="A428" s="4" t="str">
        <f aca="false">Orders_Raw!A428</f>
        <v>ORD00399</v>
      </c>
      <c r="B428" s="4" t="str">
        <f aca="false">TRIM(UPPER(Orders_Raw!B428))</f>
        <v>CUST0019</v>
      </c>
      <c r="C428" s="4" t="str">
        <f aca="false">PROPER(TRIM(Orders_Raw!C428))</f>
        <v>Ifeoma Chukwu</v>
      </c>
      <c r="D428" s="6" t="n">
        <f aca="false">IFERROR(DATEVALUE(Orders_Raw!D428),"")</f>
        <v>46056</v>
      </c>
      <c r="E428" s="4" t="str">
        <f aca="false">IF(D428="","No","Yes")</f>
        <v>Yes</v>
      </c>
      <c r="F428" s="4" t="n">
        <f aca="false">IFERROR(VALUE(SUBSTITUTE(SUBSTITUTE(SUBSTITUTE(Orders_Raw!G428,"$",""),"NGN",""),",","")),"")</f>
        <v>2098.72</v>
      </c>
      <c r="G428" s="4" t="str">
        <f aca="false">IF(F428="","No","Yes")</f>
        <v>Yes</v>
      </c>
      <c r="H428" s="4" t="str">
        <f aca="false">Orders_Raw!F428</f>
        <v>1</v>
      </c>
      <c r="I428" s="4" t="str">
        <f aca="false">IF(H428="","No",IF(H428&lt;=0,"No","Yes"))</f>
        <v>Yes</v>
      </c>
      <c r="J428" s="4" t="str">
        <f aca="false">Orders_Raw!E428</f>
        <v>Keyboard</v>
      </c>
      <c r="K428" s="4" t="str">
        <f aca="false">Orders_Raw!H428</f>
        <v>2026-02-03 15:29</v>
      </c>
      <c r="L428" s="4" t="str">
        <f aca="false">IF(COUNTIF(Orders_Raw!$A$5:$A$539,A428)&gt;1,"YES","No")</f>
        <v>No</v>
      </c>
      <c r="M428" s="4" t="str">
        <f aca="false">IF(COUNTIFS($B$5:$B$539,B428,$D$5:$D$539,D428,$F$5:$F$539,F428)&gt;1,"YES","No")</f>
        <v>No</v>
      </c>
      <c r="N428" s="4" t="str">
        <f aca="false">IFERROR(INDEX(Customer_Master!$B$5:$B$64,MATCH(B428,Customer_Master!$A$5:$A$64,0)),"UNMATCHED")</f>
        <v>Ifeoma Chukwu</v>
      </c>
      <c r="O428" s="4" t="str">
        <f aca="false">IFERROR(INDEX(Customer_Master!$C$5:$C$64,MATCH(B428,Customer_Master!$A$5:$A$64,0)),"UNMATCHED")</f>
        <v>Loyal</v>
      </c>
      <c r="P428" s="4" t="str">
        <f aca="false">IFERROR(INDEX(Customer_Master!$D$5:$D$64,MATCH(B428,Customer_Master!$A$5:$A$64,0)),"UNMATCHED")</f>
        <v>Ibadan</v>
      </c>
      <c r="Q428" s="4" t="str">
        <f aca="false">IF(N428="UNMATCHED","Unmatched","Matched")</f>
        <v>Matched</v>
      </c>
      <c r="R428" s="4" t="str">
        <f aca="false">IF(OR(E428="No",G428="No",I428="No",L428="YES",Q428="Unmatched"),"NEEDS REVIEW","OK")</f>
        <v>OK</v>
      </c>
    </row>
    <row r="429" customFormat="false" ht="15" hidden="false" customHeight="false" outlineLevel="0" collapsed="false">
      <c r="A429" s="4" t="str">
        <f aca="false">Orders_Raw!A429</f>
        <v>ORD00118</v>
      </c>
      <c r="B429" s="4" t="str">
        <f aca="false">TRIM(UPPER(Orders_Raw!B429))</f>
        <v>CUST0008</v>
      </c>
      <c r="C429" s="4" t="str">
        <f aca="false">PROPER(TRIM(Orders_Raw!C429))</f>
        <v>Victor Duru</v>
      </c>
      <c r="D429" s="6" t="str">
        <f aca="false">IFERROR(DATEVALUE(Orders_Raw!D429),"")</f>
        <v/>
      </c>
      <c r="E429" s="4" t="str">
        <f aca="false">IF(D429="","No","Yes")</f>
        <v>No</v>
      </c>
      <c r="F429" s="4" t="n">
        <f aca="false">IFERROR(VALUE(SUBSTITUTE(SUBSTITUTE(SUBSTITUTE(Orders_Raw!G429,"$",""),"NGN",""),",","")),"")</f>
        <v>133.66</v>
      </c>
      <c r="G429" s="4" t="str">
        <f aca="false">IF(F429="","No","Yes")</f>
        <v>Yes</v>
      </c>
      <c r="H429" s="4" t="str">
        <f aca="false">Orders_Raw!F429</f>
        <v>4</v>
      </c>
      <c r="I429" s="4" t="str">
        <f aca="false">IF(H429="","No",IF(H429&lt;=0,"No","Yes"))</f>
        <v>Yes</v>
      </c>
      <c r="J429" s="4" t="str">
        <f aca="false">Orders_Raw!E429</f>
        <v>Phone</v>
      </c>
      <c r="K429" s="4" t="str">
        <f aca="false">Orders_Raw!H429</f>
        <v>2026-03-19 15:38</v>
      </c>
      <c r="L429" s="4" t="str">
        <f aca="false">IF(COUNTIF(Orders_Raw!$A$5:$A$539,A429)&gt;1,"YES","No")</f>
        <v>No</v>
      </c>
      <c r="M429" s="4" t="str">
        <f aca="false">IF(COUNTIFS($B$5:$B$539,B429,$D$5:$D$539,D429,$F$5:$F$539,F429)&gt;1,"YES","No")</f>
        <v>No</v>
      </c>
      <c r="N429" s="4" t="str">
        <f aca="false">IFERROR(INDEX(Customer_Master!$B$5:$B$64,MATCH(B429,Customer_Master!$A$5:$A$64,0)),"UNMATCHED")</f>
        <v>Victor Duru</v>
      </c>
      <c r="O429" s="4" t="str">
        <f aca="false">IFERROR(INDEX(Customer_Master!$C$5:$C$64,MATCH(B429,Customer_Master!$A$5:$A$64,0)),"UNMATCHED")</f>
        <v>Loyal</v>
      </c>
      <c r="P429" s="4" t="str">
        <f aca="false">IFERROR(INDEX(Customer_Master!$D$5:$D$64,MATCH(B429,Customer_Master!$A$5:$A$64,0)),"UNMATCHED")</f>
        <v>Enugu</v>
      </c>
      <c r="Q429" s="4" t="str">
        <f aca="false">IF(N429="UNMATCHED","Unmatched","Matched")</f>
        <v>Matched</v>
      </c>
      <c r="R429" s="4" t="str">
        <f aca="false">IF(OR(E429="No",G429="No",I429="No",L429="YES",Q429="Unmatched"),"NEEDS REVIEW","OK")</f>
        <v>NEEDS REVIEW</v>
      </c>
    </row>
    <row r="430" customFormat="false" ht="15" hidden="false" customHeight="false" outlineLevel="0" collapsed="false">
      <c r="A430" s="4" t="str">
        <f aca="false">Orders_Raw!A430</f>
        <v>ORD00431</v>
      </c>
      <c r="B430" s="4" t="str">
        <f aca="false">TRIM(UPPER(Orders_Raw!B430))</f>
        <v>CUST0003</v>
      </c>
      <c r="C430" s="4" t="str">
        <f aca="false">PROPER(TRIM(Orders_Raw!C430))</f>
        <v>Chidi Adamu</v>
      </c>
      <c r="D430" s="6" t="n">
        <f aca="false">IFERROR(DATEVALUE(Orders_Raw!D430),"")</f>
        <v>46061</v>
      </c>
      <c r="E430" s="4" t="str">
        <f aca="false">IF(D430="","No","Yes")</f>
        <v>Yes</v>
      </c>
      <c r="F430" s="4" t="n">
        <f aca="false">IFERROR(VALUE(SUBSTITUTE(SUBSTITUTE(SUBSTITUTE(Orders_Raw!G430,"$",""),"NGN",""),",","")),"")</f>
        <v>1263.47</v>
      </c>
      <c r="G430" s="4" t="str">
        <f aca="false">IF(F430="","No","Yes")</f>
        <v>Yes</v>
      </c>
      <c r="H430" s="4" t="str">
        <f aca="false">Orders_Raw!F430</f>
        <v>1</v>
      </c>
      <c r="I430" s="4" t="str">
        <f aca="false">IF(H430="","No",IF(H430&lt;=0,"No","Yes"))</f>
        <v>Yes</v>
      </c>
      <c r="J430" s="4" t="str">
        <f aca="false">Orders_Raw!E430</f>
        <v>Monitor</v>
      </c>
      <c r="K430" s="4" t="str">
        <f aca="false">Orders_Raw!H430</f>
        <v>2026-02-08 15:48</v>
      </c>
      <c r="L430" s="4" t="str">
        <f aca="false">IF(COUNTIF(Orders_Raw!$A$5:$A$539,A430)&gt;1,"YES","No")</f>
        <v>No</v>
      </c>
      <c r="M430" s="4" t="str">
        <f aca="false">IF(COUNTIFS($B$5:$B$539,B430,$D$5:$D$539,D430,$F$5:$F$539,F430)&gt;1,"YES","No")</f>
        <v>No</v>
      </c>
      <c r="N430" s="4" t="str">
        <f aca="false">IFERROR(INDEX(Customer_Master!$B$5:$B$64,MATCH(B430,Customer_Master!$A$5:$A$64,0)),"UNMATCHED")</f>
        <v>Chidi Adamu</v>
      </c>
      <c r="O430" s="4" t="str">
        <f aca="false">IFERROR(INDEX(Customer_Master!$C$5:$C$64,MATCH(B430,Customer_Master!$A$5:$A$64,0)),"UNMATCHED")</f>
        <v>Champions</v>
      </c>
      <c r="P430" s="4" t="str">
        <f aca="false">IFERROR(INDEX(Customer_Master!$D$5:$D$64,MATCH(B430,Customer_Master!$A$5:$A$64,0)),"UNMATCHED")</f>
        <v>Enugu</v>
      </c>
      <c r="Q430" s="4" t="str">
        <f aca="false">IF(N430="UNMATCHED","Unmatched","Matched")</f>
        <v>Matched</v>
      </c>
      <c r="R430" s="4" t="str">
        <f aca="false">IF(OR(E430="No",G430="No",I430="No",L430="YES",Q430="Unmatched"),"NEEDS REVIEW","OK")</f>
        <v>OK</v>
      </c>
    </row>
    <row r="431" customFormat="false" ht="15" hidden="false" customHeight="false" outlineLevel="0" collapsed="false">
      <c r="A431" s="4" t="str">
        <f aca="false">Orders_Raw!A431</f>
        <v>ORD00347</v>
      </c>
      <c r="B431" s="4" t="str">
        <f aca="false">TRIM(UPPER(Orders_Raw!B431))</f>
        <v>CUST0041</v>
      </c>
      <c r="C431" s="4" t="str">
        <f aca="false">PROPER(TRIM(Orders_Raw!C431))</f>
        <v>Kemi Umeh</v>
      </c>
      <c r="D431" s="6" t="n">
        <f aca="false">IFERROR(DATEVALUE(Orders_Raw!D431),"")</f>
        <v>46025</v>
      </c>
      <c r="E431" s="4" t="str">
        <f aca="false">IF(D431="","No","Yes")</f>
        <v>Yes</v>
      </c>
      <c r="F431" s="4" t="n">
        <f aca="false">IFERROR(VALUE(SUBSTITUTE(SUBSTITUTE(SUBSTITUTE(Orders_Raw!G431,"$",""),"NGN",""),",","")),"")</f>
        <v>2188.8</v>
      </c>
      <c r="G431" s="4" t="str">
        <f aca="false">IF(F431="","No","Yes")</f>
        <v>Yes</v>
      </c>
      <c r="H431" s="4" t="str">
        <f aca="false">Orders_Raw!F431</f>
        <v>1</v>
      </c>
      <c r="I431" s="4" t="str">
        <f aca="false">IF(H431="","No",IF(H431&lt;=0,"No","Yes"))</f>
        <v>Yes</v>
      </c>
      <c r="J431" s="4" t="str">
        <f aca="false">Orders_Raw!E431</f>
        <v>Monitor</v>
      </c>
      <c r="K431" s="4" t="str">
        <f aca="false">Orders_Raw!H431</f>
        <v>2026-01-03 16:35</v>
      </c>
      <c r="L431" s="4" t="str">
        <f aca="false">IF(COUNTIF(Orders_Raw!$A$5:$A$539,A431)&gt;1,"YES","No")</f>
        <v>No</v>
      </c>
      <c r="M431" s="4" t="str">
        <f aca="false">IF(COUNTIFS($B$5:$B$539,B431,$D$5:$D$539,D431,$F$5:$F$539,F431)&gt;1,"YES","No")</f>
        <v>No</v>
      </c>
      <c r="N431" s="4" t="str">
        <f aca="false">IFERROR(INDEX(Customer_Master!$B$5:$B$64,MATCH(B431,Customer_Master!$A$5:$A$64,0)),"UNMATCHED")</f>
        <v>Kemi Umeh</v>
      </c>
      <c r="O431" s="4" t="str">
        <f aca="false">IFERROR(INDEX(Customer_Master!$C$5:$C$64,MATCH(B431,Customer_Master!$A$5:$A$64,0)),"UNMATCHED")</f>
        <v>Lost / Low-Value</v>
      </c>
      <c r="P431" s="4" t="str">
        <f aca="false">IFERROR(INDEX(Customer_Master!$D$5:$D$64,MATCH(B431,Customer_Master!$A$5:$A$64,0)),"UNMATCHED")</f>
        <v>Lagos</v>
      </c>
      <c r="Q431" s="4" t="str">
        <f aca="false">IF(N431="UNMATCHED","Unmatched","Matched")</f>
        <v>Matched</v>
      </c>
      <c r="R431" s="4" t="str">
        <f aca="false">IF(OR(E431="No",G431="No",I431="No",L431="YES",Q431="Unmatched"),"NEEDS REVIEW","OK")</f>
        <v>OK</v>
      </c>
    </row>
    <row r="432" customFormat="false" ht="15" hidden="false" customHeight="false" outlineLevel="0" collapsed="false">
      <c r="A432" s="4" t="str">
        <f aca="false">Orders_Raw!A432</f>
        <v>ORD00383</v>
      </c>
      <c r="B432" s="4" t="str">
        <f aca="false">TRIM(UPPER(Orders_Raw!B432))</f>
        <v>CUST0012</v>
      </c>
      <c r="C432" s="4" t="str">
        <f aca="false">PROPER(TRIM(Orders_Raw!C432))</f>
        <v>Kemi Sani</v>
      </c>
      <c r="D432" s="6" t="n">
        <f aca="false">IFERROR(DATEVALUE(Orders_Raw!D432),"")</f>
        <v>46078</v>
      </c>
      <c r="E432" s="4" t="str">
        <f aca="false">IF(D432="","No","Yes")</f>
        <v>Yes</v>
      </c>
      <c r="F432" s="4" t="n">
        <f aca="false">IFERROR(VALUE(SUBSTITUTE(SUBSTITUTE(SUBSTITUTE(Orders_Raw!G432,"$",""),"NGN",""),",","")),"")</f>
        <v>683.65</v>
      </c>
      <c r="G432" s="4" t="str">
        <f aca="false">IF(F432="","No","Yes")</f>
        <v>Yes</v>
      </c>
      <c r="H432" s="4" t="str">
        <f aca="false">Orders_Raw!F432</f>
        <v>2</v>
      </c>
      <c r="I432" s="4" t="str">
        <f aca="false">IF(H432="","No",IF(H432&lt;=0,"No","Yes"))</f>
        <v>Yes</v>
      </c>
      <c r="J432" s="4" t="str">
        <f aca="false">Orders_Raw!E432</f>
        <v>Charger</v>
      </c>
      <c r="K432" s="4" t="str">
        <f aca="false">Orders_Raw!H432</f>
        <v>2026-02-25 12:13</v>
      </c>
      <c r="L432" s="4" t="str">
        <f aca="false">IF(COUNTIF(Orders_Raw!$A$5:$A$539,A432)&gt;1,"YES","No")</f>
        <v>No</v>
      </c>
      <c r="M432" s="4" t="str">
        <f aca="false">IF(COUNTIFS($B$5:$B$539,B432,$D$5:$D$539,D432,$F$5:$F$539,F432)&gt;1,"YES","No")</f>
        <v>No</v>
      </c>
      <c r="N432" s="4" t="str">
        <f aca="false">IFERROR(INDEX(Customer_Master!$B$5:$B$64,MATCH(B432,Customer_Master!$A$5:$A$64,0)),"UNMATCHED")</f>
        <v>Kemi Sani</v>
      </c>
      <c r="O432" s="4" t="str">
        <f aca="false">IFERROR(INDEX(Customer_Master!$C$5:$C$64,MATCH(B432,Customer_Master!$A$5:$A$64,0)),"UNMATCHED")</f>
        <v>Champions</v>
      </c>
      <c r="P432" s="4" t="str">
        <f aca="false">IFERROR(INDEX(Customer_Master!$D$5:$D$64,MATCH(B432,Customer_Master!$A$5:$A$64,0)),"UNMATCHED")</f>
        <v>Kaduna</v>
      </c>
      <c r="Q432" s="4" t="str">
        <f aca="false">IF(N432="UNMATCHED","Unmatched","Matched")</f>
        <v>Matched</v>
      </c>
      <c r="R432" s="4" t="str">
        <f aca="false">IF(OR(E432="No",G432="No",I432="No",L432="YES",Q432="Unmatched"),"NEEDS REVIEW","OK")</f>
        <v>OK</v>
      </c>
    </row>
    <row r="433" customFormat="false" ht="15" hidden="false" customHeight="false" outlineLevel="0" collapsed="false">
      <c r="A433" s="4" t="str">
        <f aca="false">Orders_Raw!A433</f>
        <v>ORD00102</v>
      </c>
      <c r="B433" s="4" t="str">
        <f aca="false">TRIM(UPPER(Orders_Raw!B433))</f>
        <v>CUST0041</v>
      </c>
      <c r="C433" s="4" t="str">
        <f aca="false">PROPER(TRIM(Orders_Raw!C433))</f>
        <v>Kemi Umeh</v>
      </c>
      <c r="D433" s="6" t="n">
        <f aca="false">IFERROR(DATEVALUE(Orders_Raw!D433),"")</f>
        <v>46217</v>
      </c>
      <c r="E433" s="4" t="str">
        <f aca="false">IF(D433="","No","Yes")</f>
        <v>Yes</v>
      </c>
      <c r="F433" s="4" t="n">
        <f aca="false">IFERROR(VALUE(SUBSTITUTE(SUBSTITUTE(SUBSTITUTE(Orders_Raw!G433,"$",""),"NGN",""),",","")),"")</f>
        <v>1130.53</v>
      </c>
      <c r="G433" s="4" t="str">
        <f aca="false">IF(F433="","No","Yes")</f>
        <v>Yes</v>
      </c>
      <c r="H433" s="4" t="str">
        <f aca="false">Orders_Raw!F433</f>
        <v>4</v>
      </c>
      <c r="I433" s="4" t="str">
        <f aca="false">IF(H433="","No",IF(H433&lt;=0,"No","Yes"))</f>
        <v>Yes</v>
      </c>
      <c r="J433" s="4" t="str">
        <f aca="false">Orders_Raw!E433</f>
        <v>Keyboard</v>
      </c>
      <c r="K433" s="4" t="str">
        <f aca="false">Orders_Raw!H433</f>
        <v>2026-07-14 10:28</v>
      </c>
      <c r="L433" s="4" t="str">
        <f aca="false">IF(COUNTIF(Orders_Raw!$A$5:$A$539,A433)&gt;1,"YES","No")</f>
        <v>No</v>
      </c>
      <c r="M433" s="4" t="str">
        <f aca="false">IF(COUNTIFS($B$5:$B$539,B433,$D$5:$D$539,D433,$F$5:$F$539,F433)&gt;1,"YES","No")</f>
        <v>No</v>
      </c>
      <c r="N433" s="4" t="str">
        <f aca="false">IFERROR(INDEX(Customer_Master!$B$5:$B$64,MATCH(B433,Customer_Master!$A$5:$A$64,0)),"UNMATCHED")</f>
        <v>Kemi Umeh</v>
      </c>
      <c r="O433" s="4" t="str">
        <f aca="false">IFERROR(INDEX(Customer_Master!$C$5:$C$64,MATCH(B433,Customer_Master!$A$5:$A$64,0)),"UNMATCHED")</f>
        <v>Lost / Low-Value</v>
      </c>
      <c r="P433" s="4" t="str">
        <f aca="false">IFERROR(INDEX(Customer_Master!$D$5:$D$64,MATCH(B433,Customer_Master!$A$5:$A$64,0)),"UNMATCHED")</f>
        <v>Lagos</v>
      </c>
      <c r="Q433" s="4" t="str">
        <f aca="false">IF(N433="UNMATCHED","Unmatched","Matched")</f>
        <v>Matched</v>
      </c>
      <c r="R433" s="4" t="str">
        <f aca="false">IF(OR(E433="No",G433="No",I433="No",L433="YES",Q433="Unmatched"),"NEEDS REVIEW","OK")</f>
        <v>OK</v>
      </c>
    </row>
    <row r="434" customFormat="false" ht="15" hidden="false" customHeight="false" outlineLevel="0" collapsed="false">
      <c r="A434" s="4" t="str">
        <f aca="false">Orders_Raw!A434</f>
        <v>ORD00496</v>
      </c>
      <c r="B434" s="4" t="str">
        <f aca="false">TRIM(UPPER(Orders_Raw!B434))</f>
        <v>CUST0043</v>
      </c>
      <c r="C434" s="4" t="str">
        <f aca="false">PROPER(TRIM(Orders_Raw!C434))</f>
        <v>Grace Ajayi</v>
      </c>
      <c r="D434" s="6" t="n">
        <f aca="false">IFERROR(DATEVALUE(Orders_Raw!D434),"")</f>
        <v>46198</v>
      </c>
      <c r="E434" s="4" t="str">
        <f aca="false">IF(D434="","No","Yes")</f>
        <v>Yes</v>
      </c>
      <c r="F434" s="4" t="n">
        <f aca="false">IFERROR(VALUE(SUBSTITUTE(SUBSTITUTE(SUBSTITUTE(Orders_Raw!G434,"$",""),"NGN",""),",","")),"")</f>
        <v>1998.27</v>
      </c>
      <c r="G434" s="4" t="str">
        <f aca="false">IF(F434="","No","Yes")</f>
        <v>Yes</v>
      </c>
      <c r="H434" s="4" t="str">
        <f aca="false">Orders_Raw!F434</f>
        <v>3</v>
      </c>
      <c r="I434" s="4" t="str">
        <f aca="false">IF(H434="","No",IF(H434&lt;=0,"No","Yes"))</f>
        <v>Yes</v>
      </c>
      <c r="J434" s="4" t="str">
        <f aca="false">Orders_Raw!E434</f>
        <v>Laptop</v>
      </c>
      <c r="K434" s="4" t="str">
        <f aca="false">Orders_Raw!H434</f>
        <v>2026-06-25 15:29</v>
      </c>
      <c r="L434" s="4" t="str">
        <f aca="false">IF(COUNTIF(Orders_Raw!$A$5:$A$539,A434)&gt;1,"YES","No")</f>
        <v>No</v>
      </c>
      <c r="M434" s="4" t="str">
        <f aca="false">IF(COUNTIFS($B$5:$B$539,B434,$D$5:$D$539,D434,$F$5:$F$539,F434)&gt;1,"YES","No")</f>
        <v>No</v>
      </c>
      <c r="N434" s="4" t="str">
        <f aca="false">IFERROR(INDEX(Customer_Master!$B$5:$B$64,MATCH(B434,Customer_Master!$A$5:$A$64,0)),"UNMATCHED")</f>
        <v>Grace Ajayi</v>
      </c>
      <c r="O434" s="4" t="str">
        <f aca="false">IFERROR(INDEX(Customer_Master!$C$5:$C$64,MATCH(B434,Customer_Master!$A$5:$A$64,0)),"UNMATCHED")</f>
        <v>New</v>
      </c>
      <c r="P434" s="4" t="str">
        <f aca="false">IFERROR(INDEX(Customer_Master!$D$5:$D$64,MATCH(B434,Customer_Master!$A$5:$A$64,0)),"UNMATCHED")</f>
        <v>Abuja</v>
      </c>
      <c r="Q434" s="4" t="str">
        <f aca="false">IF(N434="UNMATCHED","Unmatched","Matched")</f>
        <v>Matched</v>
      </c>
      <c r="R434" s="4" t="str">
        <f aca="false">IF(OR(E434="No",G434="No",I434="No",L434="YES",Q434="Unmatched"),"NEEDS REVIEW","OK")</f>
        <v>OK</v>
      </c>
    </row>
    <row r="435" customFormat="false" ht="15" hidden="false" customHeight="false" outlineLevel="0" collapsed="false">
      <c r="A435" s="4" t="str">
        <f aca="false">Orders_Raw!A435</f>
        <v>ORD00167</v>
      </c>
      <c r="B435" s="4" t="str">
        <f aca="false">TRIM(UPPER(Orders_Raw!B435))</f>
        <v>CUST0049</v>
      </c>
      <c r="C435" s="4" t="str">
        <f aca="false">PROPER(TRIM(Orders_Raw!C435))</f>
        <v>Bisi Ajayi</v>
      </c>
      <c r="D435" s="6" t="str">
        <f aca="false">IFERROR(DATEVALUE(Orders_Raw!D435),"")</f>
        <v/>
      </c>
      <c r="E435" s="4" t="str">
        <f aca="false">IF(D435="","No","Yes")</f>
        <v>No</v>
      </c>
      <c r="F435" s="4" t="n">
        <f aca="false">IFERROR(VALUE(SUBSTITUTE(SUBSTITUTE(SUBSTITUTE(Orders_Raw!G435,"$",""),"NGN",""),",","")),"")</f>
        <v>1327.51</v>
      </c>
      <c r="G435" s="4" t="str">
        <f aca="false">IF(F435="","No","Yes")</f>
        <v>Yes</v>
      </c>
      <c r="H435" s="4" t="str">
        <f aca="false">Orders_Raw!F435</f>
        <v>1</v>
      </c>
      <c r="I435" s="4" t="str">
        <f aca="false">IF(H435="","No",IF(H435&lt;=0,"No","Yes"))</f>
        <v>Yes</v>
      </c>
      <c r="J435" s="4" t="str">
        <f aca="false">Orders_Raw!E435</f>
        <v>Tablet</v>
      </c>
      <c r="K435" s="4" t="str">
        <f aca="false">Orders_Raw!H435</f>
        <v>2026-05-15 16:12</v>
      </c>
      <c r="L435" s="4" t="str">
        <f aca="false">IF(COUNTIF(Orders_Raw!$A$5:$A$539,A435)&gt;1,"YES","No")</f>
        <v>No</v>
      </c>
      <c r="M435" s="4" t="str">
        <f aca="false">IF(COUNTIFS($B$5:$B$539,B435,$D$5:$D$539,D435,$F$5:$F$539,F435)&gt;1,"YES","No")</f>
        <v>No</v>
      </c>
      <c r="N435" s="4" t="str">
        <f aca="false">IFERROR(INDEX(Customer_Master!$B$5:$B$64,MATCH(B435,Customer_Master!$A$5:$A$64,0)),"UNMATCHED")</f>
        <v>Bisi Ajayi</v>
      </c>
      <c r="O435" s="4" t="str">
        <f aca="false">IFERROR(INDEX(Customer_Master!$C$5:$C$64,MATCH(B435,Customer_Master!$A$5:$A$64,0)),"UNMATCHED")</f>
        <v>Loyal</v>
      </c>
      <c r="P435" s="4" t="str">
        <f aca="false">IFERROR(INDEX(Customer_Master!$D$5:$D$64,MATCH(B435,Customer_Master!$A$5:$A$64,0)),"UNMATCHED")</f>
        <v>Abuja</v>
      </c>
      <c r="Q435" s="4" t="str">
        <f aca="false">IF(N435="UNMATCHED","Unmatched","Matched")</f>
        <v>Matched</v>
      </c>
      <c r="R435" s="4" t="str">
        <f aca="false">IF(OR(E435="No",G435="No",I435="No",L435="YES",Q435="Unmatched"),"NEEDS REVIEW","OK")</f>
        <v>NEEDS REVIEW</v>
      </c>
    </row>
    <row r="436" customFormat="false" ht="15" hidden="false" customHeight="false" outlineLevel="0" collapsed="false">
      <c r="A436" s="4" t="str">
        <f aca="false">Orders_Raw!A436</f>
        <v>ORD00297</v>
      </c>
      <c r="B436" s="4" t="str">
        <f aca="false">TRIM(UPPER(Orders_Raw!B436))</f>
        <v>CUST0036</v>
      </c>
      <c r="C436" s="4" t="str">
        <f aca="false">PROPER(TRIM(Orders_Raw!C436))</f>
        <v>Esther Umeh</v>
      </c>
      <c r="D436" s="6" t="n">
        <f aca="false">IFERROR(DATEVALUE(Orders_Raw!D436),"")</f>
        <v>46143</v>
      </c>
      <c r="E436" s="4" t="str">
        <f aca="false">IF(D436="","No","Yes")</f>
        <v>Yes</v>
      </c>
      <c r="F436" s="4" t="n">
        <f aca="false">IFERROR(VALUE(SUBSTITUTE(SUBSTITUTE(SUBSTITUTE(Orders_Raw!G436,"$",""),"NGN",""),",","")),"")</f>
        <v>1856.18</v>
      </c>
      <c r="G436" s="4" t="str">
        <f aca="false">IF(F436="","No","Yes")</f>
        <v>Yes</v>
      </c>
      <c r="H436" s="4" t="str">
        <f aca="false">Orders_Raw!F436</f>
        <v>5</v>
      </c>
      <c r="I436" s="4" t="str">
        <f aca="false">IF(H436="","No",IF(H436&lt;=0,"No","Yes"))</f>
        <v>Yes</v>
      </c>
      <c r="J436" s="4" t="str">
        <f aca="false">Orders_Raw!E436</f>
        <v>Keyboard</v>
      </c>
      <c r="K436" s="4" t="str">
        <f aca="false">Orders_Raw!H436</f>
        <v>2026-05-01 18:05</v>
      </c>
      <c r="L436" s="4" t="str">
        <f aca="false">IF(COUNTIF(Orders_Raw!$A$5:$A$539,A436)&gt;1,"YES","No")</f>
        <v>No</v>
      </c>
      <c r="M436" s="4" t="str">
        <f aca="false">IF(COUNTIFS($B$5:$B$539,B436,$D$5:$D$539,D436,$F$5:$F$539,F436)&gt;1,"YES","No")</f>
        <v>No</v>
      </c>
      <c r="N436" s="4" t="str">
        <f aca="false">IFERROR(INDEX(Customer_Master!$B$5:$B$64,MATCH(B436,Customer_Master!$A$5:$A$64,0)),"UNMATCHED")</f>
        <v>Esther Umeh</v>
      </c>
      <c r="O436" s="4" t="str">
        <f aca="false">IFERROR(INDEX(Customer_Master!$C$5:$C$64,MATCH(B436,Customer_Master!$A$5:$A$64,0)),"UNMATCHED")</f>
        <v>Champions</v>
      </c>
      <c r="P436" s="4" t="str">
        <f aca="false">IFERROR(INDEX(Customer_Master!$D$5:$D$64,MATCH(B436,Customer_Master!$A$5:$A$64,0)),"UNMATCHED")</f>
        <v>Ibadan</v>
      </c>
      <c r="Q436" s="4" t="str">
        <f aca="false">IF(N436="UNMATCHED","Unmatched","Matched")</f>
        <v>Matched</v>
      </c>
      <c r="R436" s="4" t="str">
        <f aca="false">IF(OR(E436="No",G436="No",I436="No",L436="YES",Q436="Unmatched"),"NEEDS REVIEW","OK")</f>
        <v>OK</v>
      </c>
    </row>
    <row r="437" customFormat="false" ht="15" hidden="false" customHeight="false" outlineLevel="0" collapsed="false">
      <c r="A437" s="4" t="str">
        <f aca="false">Orders_Raw!A437</f>
        <v>ORD00304</v>
      </c>
      <c r="B437" s="4" t="str">
        <f aca="false">TRIM(UPPER(Orders_Raw!B437))</f>
        <v>CUST0019</v>
      </c>
      <c r="C437" s="4" t="str">
        <f aca="false">PROPER(TRIM(Orders_Raw!C437))</f>
        <v>Ifeoma Chukwu</v>
      </c>
      <c r="D437" s="6" t="n">
        <f aca="false">IFERROR(DATEVALUE(Orders_Raw!D437),"")</f>
        <v>46175</v>
      </c>
      <c r="E437" s="4" t="str">
        <f aca="false">IF(D437="","No","Yes")</f>
        <v>Yes</v>
      </c>
      <c r="F437" s="4" t="n">
        <f aca="false">IFERROR(VALUE(SUBSTITUTE(SUBSTITUTE(SUBSTITUTE(Orders_Raw!G437,"$",""),"NGN",""),",","")),"")</f>
        <v>854.52</v>
      </c>
      <c r="G437" s="4" t="str">
        <f aca="false">IF(F437="","No","Yes")</f>
        <v>Yes</v>
      </c>
      <c r="H437" s="4" t="str">
        <f aca="false">Orders_Raw!F437</f>
        <v>2</v>
      </c>
      <c r="I437" s="4" t="str">
        <f aca="false">IF(H437="","No",IF(H437&lt;=0,"No","Yes"))</f>
        <v>Yes</v>
      </c>
      <c r="J437" s="4" t="str">
        <f aca="false">Orders_Raw!E437</f>
        <v>Charger</v>
      </c>
      <c r="K437" s="4" t="str">
        <f aca="false">Orders_Raw!H437</f>
        <v>2026-06-02 10:58</v>
      </c>
      <c r="L437" s="4" t="str">
        <f aca="false">IF(COUNTIF(Orders_Raw!$A$5:$A$539,A437)&gt;1,"YES","No")</f>
        <v>No</v>
      </c>
      <c r="M437" s="4" t="str">
        <f aca="false">IF(COUNTIFS($B$5:$B$539,B437,$D$5:$D$539,D437,$F$5:$F$539,F437)&gt;1,"YES","No")</f>
        <v>No</v>
      </c>
      <c r="N437" s="4" t="str">
        <f aca="false">IFERROR(INDEX(Customer_Master!$B$5:$B$64,MATCH(B437,Customer_Master!$A$5:$A$64,0)),"UNMATCHED")</f>
        <v>Ifeoma Chukwu</v>
      </c>
      <c r="O437" s="4" t="str">
        <f aca="false">IFERROR(INDEX(Customer_Master!$C$5:$C$64,MATCH(B437,Customer_Master!$A$5:$A$64,0)),"UNMATCHED")</f>
        <v>Loyal</v>
      </c>
      <c r="P437" s="4" t="str">
        <f aca="false">IFERROR(INDEX(Customer_Master!$D$5:$D$64,MATCH(B437,Customer_Master!$A$5:$A$64,0)),"UNMATCHED")</f>
        <v>Ibadan</v>
      </c>
      <c r="Q437" s="4" t="str">
        <f aca="false">IF(N437="UNMATCHED","Unmatched","Matched")</f>
        <v>Matched</v>
      </c>
      <c r="R437" s="4" t="str">
        <f aca="false">IF(OR(E437="No",G437="No",I437="No",L437="YES",Q437="Unmatched"),"NEEDS REVIEW","OK")</f>
        <v>OK</v>
      </c>
    </row>
    <row r="438" customFormat="false" ht="15" hidden="false" customHeight="false" outlineLevel="0" collapsed="false">
      <c r="A438" s="4" t="str">
        <f aca="false">Orders_Raw!A438</f>
        <v>ORD00228</v>
      </c>
      <c r="B438" s="4" t="str">
        <f aca="false">TRIM(UPPER(Orders_Raw!B438))</f>
        <v>CUST0037</v>
      </c>
      <c r="C438" s="4" t="str">
        <f aca="false">PROPER(TRIM(Orders_Raw!C438))</f>
        <v>Blessing Obi</v>
      </c>
      <c r="D438" s="6" t="str">
        <f aca="false">IFERROR(DATEVALUE(Orders_Raw!D438),"")</f>
        <v/>
      </c>
      <c r="E438" s="4" t="str">
        <f aca="false">IF(D438="","No","Yes")</f>
        <v>No</v>
      </c>
      <c r="F438" s="4" t="n">
        <f aca="false">IFERROR(VALUE(SUBSTITUTE(SUBSTITUTE(SUBSTITUTE(Orders_Raw!G438,"$",""),"NGN",""),",","")),"")</f>
        <v>129.17</v>
      </c>
      <c r="G438" s="4" t="str">
        <f aca="false">IF(F438="","No","Yes")</f>
        <v>Yes</v>
      </c>
      <c r="H438" s="4" t="str">
        <f aca="false">Orders_Raw!F438</f>
        <v>1</v>
      </c>
      <c r="I438" s="4" t="str">
        <f aca="false">IF(H438="","No",IF(H438&lt;=0,"No","Yes"))</f>
        <v>Yes</v>
      </c>
      <c r="J438" s="4" t="str">
        <f aca="false">Orders_Raw!E438</f>
        <v>Printer</v>
      </c>
      <c r="K438" s="4" t="str">
        <f aca="false">Orders_Raw!H438</f>
        <v>2026-03-29 15:00</v>
      </c>
      <c r="L438" s="4" t="str">
        <f aca="false">IF(COUNTIF(Orders_Raw!$A$5:$A$539,A438)&gt;1,"YES","No")</f>
        <v>No</v>
      </c>
      <c r="M438" s="4" t="str">
        <f aca="false">IF(COUNTIFS($B$5:$B$539,B438,$D$5:$D$539,D438,$F$5:$F$539,F438)&gt;1,"YES","No")</f>
        <v>No</v>
      </c>
      <c r="N438" s="4" t="str">
        <f aca="false">IFERROR(INDEX(Customer_Master!$B$5:$B$64,MATCH(B438,Customer_Master!$A$5:$A$64,0)),"UNMATCHED")</f>
        <v>Blessing Obi</v>
      </c>
      <c r="O438" s="4" t="str">
        <f aca="false">IFERROR(INDEX(Customer_Master!$C$5:$C$64,MATCH(B438,Customer_Master!$A$5:$A$64,0)),"UNMATCHED")</f>
        <v>Lost / Low-Value</v>
      </c>
      <c r="P438" s="4" t="str">
        <f aca="false">IFERROR(INDEX(Customer_Master!$D$5:$D$64,MATCH(B438,Customer_Master!$A$5:$A$64,0)),"UNMATCHED")</f>
        <v>Lagos</v>
      </c>
      <c r="Q438" s="4" t="str">
        <f aca="false">IF(N438="UNMATCHED","Unmatched","Matched")</f>
        <v>Matched</v>
      </c>
      <c r="R438" s="4" t="str">
        <f aca="false">IF(OR(E438="No",G438="No",I438="No",L438="YES",Q438="Unmatched"),"NEEDS REVIEW","OK")</f>
        <v>NEEDS REVIEW</v>
      </c>
    </row>
    <row r="439" customFormat="false" ht="15" hidden="false" customHeight="false" outlineLevel="0" collapsed="false">
      <c r="A439" s="4" t="str">
        <f aca="false">Orders_Raw!A439</f>
        <v>ORD00370</v>
      </c>
      <c r="B439" s="4" t="str">
        <f aca="false">TRIM(UPPER(Orders_Raw!B439))</f>
        <v>CUST0035</v>
      </c>
      <c r="C439" s="4" t="str">
        <f aca="false">PROPER(TRIM(Orders_Raw!C439))</f>
        <v>Chidi Lawal</v>
      </c>
      <c r="D439" s="6" t="n">
        <f aca="false">IFERROR(DATEVALUE(Orders_Raw!D439),"")</f>
        <v>46054</v>
      </c>
      <c r="E439" s="4" t="str">
        <f aca="false">IF(D439="","No","Yes")</f>
        <v>Yes</v>
      </c>
      <c r="F439" s="4" t="n">
        <f aca="false">IFERROR(VALUE(SUBSTITUTE(SUBSTITUTE(SUBSTITUTE(Orders_Raw!G439,"$",""),"NGN",""),",","")),"")</f>
        <v>1451.3</v>
      </c>
      <c r="G439" s="4" t="str">
        <f aca="false">IF(F439="","No","Yes")</f>
        <v>Yes</v>
      </c>
      <c r="H439" s="4" t="n">
        <f aca="false">Orders_Raw!F439</f>
        <v>0</v>
      </c>
      <c r="I439" s="4" t="str">
        <f aca="false">IF(H439="","No",IF(H439&lt;=0,"No","Yes"))</f>
        <v>No</v>
      </c>
      <c r="J439" s="4" t="str">
        <f aca="false">Orders_Raw!E439</f>
        <v>Charger</v>
      </c>
      <c r="K439" s="4" t="str">
        <f aca="false">Orders_Raw!H439</f>
        <v>2026-01-02 13:26</v>
      </c>
      <c r="L439" s="4" t="str">
        <f aca="false">IF(COUNTIF(Orders_Raw!$A$5:$A$539,A439)&gt;1,"YES","No")</f>
        <v>No</v>
      </c>
      <c r="M439" s="4" t="str">
        <f aca="false">IF(COUNTIFS($B$5:$B$539,B439,$D$5:$D$539,D439,$F$5:$F$539,F439)&gt;1,"YES","No")</f>
        <v>No</v>
      </c>
      <c r="N439" s="4" t="str">
        <f aca="false">IFERROR(INDEX(Customer_Master!$B$5:$B$64,MATCH(B439,Customer_Master!$A$5:$A$64,0)),"UNMATCHED")</f>
        <v>Chidi Lawal</v>
      </c>
      <c r="O439" s="4" t="str">
        <f aca="false">IFERROR(INDEX(Customer_Master!$C$5:$C$64,MATCH(B439,Customer_Master!$A$5:$A$64,0)),"UNMATCHED")</f>
        <v>New</v>
      </c>
      <c r="P439" s="4" t="str">
        <f aca="false">IFERROR(INDEX(Customer_Master!$D$5:$D$64,MATCH(B439,Customer_Master!$A$5:$A$64,0)),"UNMATCHED")</f>
        <v>Ibadan</v>
      </c>
      <c r="Q439" s="4" t="str">
        <f aca="false">IF(N439="UNMATCHED","Unmatched","Matched")</f>
        <v>Matched</v>
      </c>
      <c r="R439" s="4" t="str">
        <f aca="false">IF(OR(E439="No",G439="No",I439="No",L439="YES",Q439="Unmatched"),"NEEDS REVIEW","OK")</f>
        <v>NEEDS REVIEW</v>
      </c>
    </row>
    <row r="440" customFormat="false" ht="15" hidden="false" customHeight="false" outlineLevel="0" collapsed="false">
      <c r="A440" s="4" t="str">
        <f aca="false">Orders_Raw!A440</f>
        <v>ORD00493</v>
      </c>
      <c r="B440" s="4" t="str">
        <f aca="false">TRIM(UPPER(Orders_Raw!B440))</f>
        <v>CUST0012</v>
      </c>
      <c r="C440" s="4" t="str">
        <f aca="false">PROPER(TRIM(Orders_Raw!C440))</f>
        <v>Kemi Sani</v>
      </c>
      <c r="D440" s="6" t="str">
        <f aca="false">IFERROR(DATEVALUE(Orders_Raw!D440),"")</f>
        <v/>
      </c>
      <c r="E440" s="4" t="str">
        <f aca="false">IF(D440="","No","Yes")</f>
        <v>No</v>
      </c>
      <c r="F440" s="4" t="n">
        <f aca="false">IFERROR(VALUE(SUBSTITUTE(SUBSTITUTE(SUBSTITUTE(Orders_Raw!G440,"$",""),"NGN",""),",","")),"")</f>
        <v>971.02</v>
      </c>
      <c r="G440" s="4" t="str">
        <f aca="false">IF(F440="","No","Yes")</f>
        <v>Yes</v>
      </c>
      <c r="H440" s="4" t="str">
        <f aca="false">Orders_Raw!F440</f>
        <v>-1</v>
      </c>
      <c r="I440" s="4" t="str">
        <f aca="false">IF(H440="","No",IF(H440&lt;=0,"No","Yes"))</f>
        <v>Yes</v>
      </c>
      <c r="J440" s="4" t="str">
        <f aca="false">Orders_Raw!E440</f>
        <v>Printer</v>
      </c>
      <c r="K440" s="4" t="str">
        <f aca="false">Orders_Raw!H440</f>
        <v>2026-05-22 11:45</v>
      </c>
      <c r="L440" s="4" t="str">
        <f aca="false">IF(COUNTIF(Orders_Raw!$A$5:$A$539,A440)&gt;1,"YES","No")</f>
        <v>No</v>
      </c>
      <c r="M440" s="4" t="str">
        <f aca="false">IF(COUNTIFS($B$5:$B$539,B440,$D$5:$D$539,D440,$F$5:$F$539,F440)&gt;1,"YES","No")</f>
        <v>No</v>
      </c>
      <c r="N440" s="4" t="str">
        <f aca="false">IFERROR(INDEX(Customer_Master!$B$5:$B$64,MATCH(B440,Customer_Master!$A$5:$A$64,0)),"UNMATCHED")</f>
        <v>Kemi Sani</v>
      </c>
      <c r="O440" s="4" t="str">
        <f aca="false">IFERROR(INDEX(Customer_Master!$C$5:$C$64,MATCH(B440,Customer_Master!$A$5:$A$64,0)),"UNMATCHED")</f>
        <v>Champions</v>
      </c>
      <c r="P440" s="4" t="str">
        <f aca="false">IFERROR(INDEX(Customer_Master!$D$5:$D$64,MATCH(B440,Customer_Master!$A$5:$A$64,0)),"UNMATCHED")</f>
        <v>Kaduna</v>
      </c>
      <c r="Q440" s="4" t="str">
        <f aca="false">IF(N440="UNMATCHED","Unmatched","Matched")</f>
        <v>Matched</v>
      </c>
      <c r="R440" s="4" t="str">
        <f aca="false">IF(OR(E440="No",G440="No",I440="No",L440="YES",Q440="Unmatched"),"NEEDS REVIEW","OK")</f>
        <v>NEEDS REVIEW</v>
      </c>
    </row>
    <row r="441" customFormat="false" ht="15" hidden="false" customHeight="false" outlineLevel="0" collapsed="false">
      <c r="A441" s="4" t="str">
        <f aca="false">Orders_Raw!A441</f>
        <v>ORD00037</v>
      </c>
      <c r="B441" s="4" t="str">
        <f aca="false">TRIM(UPPER(Orders_Raw!B441))</f>
        <v>CUST0037</v>
      </c>
      <c r="C441" s="4" t="str">
        <f aca="false">PROPER(TRIM(Orders_Raw!C441))</f>
        <v>Blessing Obi</v>
      </c>
      <c r="D441" s="6" t="str">
        <f aca="false">IFERROR(DATEVALUE(Orders_Raw!D441),"")</f>
        <v/>
      </c>
      <c r="E441" s="4" t="str">
        <f aca="false">IF(D441="","No","Yes")</f>
        <v>No</v>
      </c>
      <c r="F441" s="4" t="n">
        <f aca="false">IFERROR(VALUE(SUBSTITUTE(SUBSTITUTE(SUBSTITUTE(Orders_Raw!G441,"$",""),"NGN",""),",","")),"")</f>
        <v>1658.88</v>
      </c>
      <c r="G441" s="4" t="str">
        <f aca="false">IF(F441="","No","Yes")</f>
        <v>Yes</v>
      </c>
      <c r="H441" s="4" t="str">
        <f aca="false">Orders_Raw!F441</f>
        <v>-3</v>
      </c>
      <c r="I441" s="4" t="str">
        <f aca="false">IF(H441="","No",IF(H441&lt;=0,"No","Yes"))</f>
        <v>Yes</v>
      </c>
      <c r="J441" s="4" t="str">
        <f aca="false">Orders_Raw!E441</f>
        <v>Monitor</v>
      </c>
      <c r="K441" s="4" t="str">
        <f aca="false">Orders_Raw!H441</f>
        <v>2026-05-17 15:06</v>
      </c>
      <c r="L441" s="4" t="str">
        <f aca="false">IF(COUNTIF(Orders_Raw!$A$5:$A$539,A441)&gt;1,"YES","No")</f>
        <v>No</v>
      </c>
      <c r="M441" s="4" t="str">
        <f aca="false">IF(COUNTIFS($B$5:$B$539,B441,$D$5:$D$539,D441,$F$5:$F$539,F441)&gt;1,"YES","No")</f>
        <v>No</v>
      </c>
      <c r="N441" s="4" t="str">
        <f aca="false">IFERROR(INDEX(Customer_Master!$B$5:$B$64,MATCH(B441,Customer_Master!$A$5:$A$64,0)),"UNMATCHED")</f>
        <v>Blessing Obi</v>
      </c>
      <c r="O441" s="4" t="str">
        <f aca="false">IFERROR(INDEX(Customer_Master!$C$5:$C$64,MATCH(B441,Customer_Master!$A$5:$A$64,0)),"UNMATCHED")</f>
        <v>Lost / Low-Value</v>
      </c>
      <c r="P441" s="4" t="str">
        <f aca="false">IFERROR(INDEX(Customer_Master!$D$5:$D$64,MATCH(B441,Customer_Master!$A$5:$A$64,0)),"UNMATCHED")</f>
        <v>Lagos</v>
      </c>
      <c r="Q441" s="4" t="str">
        <f aca="false">IF(N441="UNMATCHED","Unmatched","Matched")</f>
        <v>Matched</v>
      </c>
      <c r="R441" s="4" t="str">
        <f aca="false">IF(OR(E441="No",G441="No",I441="No",L441="YES",Q441="Unmatched"),"NEEDS REVIEW","OK")</f>
        <v>NEEDS REVIEW</v>
      </c>
    </row>
    <row r="442" customFormat="false" ht="15" hidden="false" customHeight="false" outlineLevel="0" collapsed="false">
      <c r="A442" s="4" t="str">
        <f aca="false">Orders_Raw!A442</f>
        <v>ORD00060</v>
      </c>
      <c r="B442" s="4" t="str">
        <f aca="false">TRIM(UPPER(Orders_Raw!B442))</f>
        <v>CUST0010</v>
      </c>
      <c r="C442" s="4" t="str">
        <f aca="false">PROPER(TRIM(Orders_Raw!C442))</f>
        <v>Esther Umeh</v>
      </c>
      <c r="D442" s="6" t="n">
        <f aca="false">IFERROR(DATEVALUE(Orders_Raw!D442),"")</f>
        <v>46153</v>
      </c>
      <c r="E442" s="4" t="str">
        <f aca="false">IF(D442="","No","Yes")</f>
        <v>Yes</v>
      </c>
      <c r="F442" s="4" t="n">
        <f aca="false">IFERROR(VALUE(SUBSTITUTE(SUBSTITUTE(SUBSTITUTE(Orders_Raw!G442,"$",""),"NGN",""),",","")),"")</f>
        <v>2162.11</v>
      </c>
      <c r="G442" s="4" t="str">
        <f aca="false">IF(F442="","No","Yes")</f>
        <v>Yes</v>
      </c>
      <c r="H442" s="4" t="str">
        <f aca="false">Orders_Raw!F442</f>
        <v>5</v>
      </c>
      <c r="I442" s="4" t="str">
        <f aca="false">IF(H442="","No",IF(H442&lt;=0,"No","Yes"))</f>
        <v>Yes</v>
      </c>
      <c r="J442" s="4" t="str">
        <f aca="false">Orders_Raw!E442</f>
        <v>Tablet</v>
      </c>
      <c r="K442" s="4" t="str">
        <f aca="false">Orders_Raw!H442</f>
        <v>2026-05-11 12:52</v>
      </c>
      <c r="L442" s="4" t="str">
        <f aca="false">IF(COUNTIF(Orders_Raw!$A$5:$A$539,A442)&gt;1,"YES","No")</f>
        <v>No</v>
      </c>
      <c r="M442" s="4" t="str">
        <f aca="false">IF(COUNTIFS($B$5:$B$539,B442,$D$5:$D$539,D442,$F$5:$F$539,F442)&gt;1,"YES","No")</f>
        <v>No</v>
      </c>
      <c r="N442" s="4" t="str">
        <f aca="false">IFERROR(INDEX(Customer_Master!$B$5:$B$64,MATCH(B442,Customer_Master!$A$5:$A$64,0)),"UNMATCHED")</f>
        <v>Esther Umeh</v>
      </c>
      <c r="O442" s="4" t="str">
        <f aca="false">IFERROR(INDEX(Customer_Master!$C$5:$C$64,MATCH(B442,Customer_Master!$A$5:$A$64,0)),"UNMATCHED")</f>
        <v>Champions</v>
      </c>
      <c r="P442" s="4" t="str">
        <f aca="false">IFERROR(INDEX(Customer_Master!$D$5:$D$64,MATCH(B442,Customer_Master!$A$5:$A$64,0)),"UNMATCHED")</f>
        <v>Abuja</v>
      </c>
      <c r="Q442" s="4" t="str">
        <f aca="false">IF(N442="UNMATCHED","Unmatched","Matched")</f>
        <v>Matched</v>
      </c>
      <c r="R442" s="4" t="str">
        <f aca="false">IF(OR(E442="No",G442="No",I442="No",L442="YES",Q442="Unmatched"),"NEEDS REVIEW","OK")</f>
        <v>OK</v>
      </c>
    </row>
    <row r="443" customFormat="false" ht="15" hidden="false" customHeight="false" outlineLevel="0" collapsed="false">
      <c r="A443" s="4" t="str">
        <f aca="false">Orders_Raw!A443</f>
        <v>ORD00264</v>
      </c>
      <c r="B443" s="4" t="str">
        <f aca="false">TRIM(UPPER(Orders_Raw!B443))</f>
        <v>CUST0020</v>
      </c>
      <c r="C443" s="4" t="str">
        <f aca="false">PROPER(TRIM(Orders_Raw!C443))</f>
        <v>Mary Okafor</v>
      </c>
      <c r="D443" s="6" t="str">
        <f aca="false">IFERROR(DATEVALUE(Orders_Raw!D443),"")</f>
        <v/>
      </c>
      <c r="E443" s="4" t="str">
        <f aca="false">IF(D443="","No","Yes")</f>
        <v>No</v>
      </c>
      <c r="F443" s="4" t="n">
        <f aca="false">IFERROR(VALUE(SUBSTITUTE(SUBSTITUTE(SUBSTITUTE(Orders_Raw!G443,"$",""),"NGN",""),",","")),"")</f>
        <v>593.07</v>
      </c>
      <c r="G443" s="4" t="str">
        <f aca="false">IF(F443="","No","Yes")</f>
        <v>Yes</v>
      </c>
      <c r="H443" s="4" t="str">
        <f aca="false">Orders_Raw!F443</f>
        <v>-1</v>
      </c>
      <c r="I443" s="4" t="str">
        <f aca="false">IF(H443="","No",IF(H443&lt;=0,"No","Yes"))</f>
        <v>Yes</v>
      </c>
      <c r="J443" s="4" t="str">
        <f aca="false">Orders_Raw!E443</f>
        <v>Speaker</v>
      </c>
      <c r="K443" s="4" t="str">
        <f aca="false">Orders_Raw!H443</f>
        <v>2026-01-24 11:51</v>
      </c>
      <c r="L443" s="4" t="str">
        <f aca="false">IF(COUNTIF(Orders_Raw!$A$5:$A$539,A443)&gt;1,"YES","No")</f>
        <v>No</v>
      </c>
      <c r="M443" s="4" t="str">
        <f aca="false">IF(COUNTIFS($B$5:$B$539,B443,$D$5:$D$539,D443,$F$5:$F$539,F443)&gt;1,"YES","No")</f>
        <v>No</v>
      </c>
      <c r="N443" s="4" t="str">
        <f aca="false">IFERROR(INDEX(Customer_Master!$B$5:$B$64,MATCH(B443,Customer_Master!$A$5:$A$64,0)),"UNMATCHED")</f>
        <v>Mary Okafor</v>
      </c>
      <c r="O443" s="4" t="str">
        <f aca="false">IFERROR(INDEX(Customer_Master!$C$5:$C$64,MATCH(B443,Customer_Master!$A$5:$A$64,0)),"UNMATCHED")</f>
        <v>New</v>
      </c>
      <c r="P443" s="4" t="str">
        <f aca="false">IFERROR(INDEX(Customer_Master!$D$5:$D$64,MATCH(B443,Customer_Master!$A$5:$A$64,0)),"UNMATCHED")</f>
        <v>Port Harcourt</v>
      </c>
      <c r="Q443" s="4" t="str">
        <f aca="false">IF(N443="UNMATCHED","Unmatched","Matched")</f>
        <v>Matched</v>
      </c>
      <c r="R443" s="4" t="str">
        <f aca="false">IF(OR(E443="No",G443="No",I443="No",L443="YES",Q443="Unmatched"),"NEEDS REVIEW","OK")</f>
        <v>NEEDS REVIEW</v>
      </c>
    </row>
    <row r="444" customFormat="false" ht="15" hidden="false" customHeight="false" outlineLevel="0" collapsed="false">
      <c r="A444" s="4" t="str">
        <f aca="false">Orders_Raw!A444</f>
        <v>ORD00249</v>
      </c>
      <c r="B444" s="4" t="str">
        <f aca="false">TRIM(UPPER(Orders_Raw!B444))</f>
        <v>CUST0043</v>
      </c>
      <c r="C444" s="4" t="str">
        <f aca="false">PROPER(TRIM(Orders_Raw!C444))</f>
        <v>Grace Ajayi</v>
      </c>
      <c r="D444" s="6" t="n">
        <f aca="false">IFERROR(DATEVALUE(Orders_Raw!D444),"")</f>
        <v>46049</v>
      </c>
      <c r="E444" s="4" t="str">
        <f aca="false">IF(D444="","No","Yes")</f>
        <v>Yes</v>
      </c>
      <c r="F444" s="4" t="n">
        <f aca="false">IFERROR(VALUE(SUBSTITUTE(SUBSTITUTE(SUBSTITUTE(Orders_Raw!G444,"$",""),"NGN",""),",","")),"")</f>
        <v>1331.59</v>
      </c>
      <c r="G444" s="4" t="str">
        <f aca="false">IF(F444="","No","Yes")</f>
        <v>Yes</v>
      </c>
      <c r="H444" s="4" t="str">
        <f aca="false">Orders_Raw!F444</f>
        <v>2</v>
      </c>
      <c r="I444" s="4" t="str">
        <f aca="false">IF(H444="","No",IF(H444&lt;=0,"No","Yes"))</f>
        <v>Yes</v>
      </c>
      <c r="J444" s="4" t="str">
        <f aca="false">Orders_Raw!E444</f>
        <v>Headphones</v>
      </c>
      <c r="K444" s="4" t="str">
        <f aca="false">Orders_Raw!H444</f>
        <v>2026-01-27 12:05</v>
      </c>
      <c r="L444" s="4" t="str">
        <f aca="false">IF(COUNTIF(Orders_Raw!$A$5:$A$539,A444)&gt;1,"YES","No")</f>
        <v>No</v>
      </c>
      <c r="M444" s="4" t="str">
        <f aca="false">IF(COUNTIFS($B$5:$B$539,B444,$D$5:$D$539,D444,$F$5:$F$539,F444)&gt;1,"YES","No")</f>
        <v>No</v>
      </c>
      <c r="N444" s="4" t="str">
        <f aca="false">IFERROR(INDEX(Customer_Master!$B$5:$B$64,MATCH(B444,Customer_Master!$A$5:$A$64,0)),"UNMATCHED")</f>
        <v>Grace Ajayi</v>
      </c>
      <c r="O444" s="4" t="str">
        <f aca="false">IFERROR(INDEX(Customer_Master!$C$5:$C$64,MATCH(B444,Customer_Master!$A$5:$A$64,0)),"UNMATCHED")</f>
        <v>New</v>
      </c>
      <c r="P444" s="4" t="str">
        <f aca="false">IFERROR(INDEX(Customer_Master!$D$5:$D$64,MATCH(B444,Customer_Master!$A$5:$A$64,0)),"UNMATCHED")</f>
        <v>Abuja</v>
      </c>
      <c r="Q444" s="4" t="str">
        <f aca="false">IF(N444="UNMATCHED","Unmatched","Matched")</f>
        <v>Matched</v>
      </c>
      <c r="R444" s="4" t="str">
        <f aca="false">IF(OR(E444="No",G444="No",I444="No",L444="YES",Q444="Unmatched"),"NEEDS REVIEW","OK")</f>
        <v>OK</v>
      </c>
    </row>
    <row r="445" customFormat="false" ht="15" hidden="false" customHeight="false" outlineLevel="0" collapsed="false">
      <c r="A445" s="4" t="str">
        <f aca="false">Orders_Raw!A445</f>
        <v>ORD00015</v>
      </c>
      <c r="B445" s="4" t="str">
        <f aca="false">TRIM(UPPER(Orders_Raw!B445))</f>
        <v>CUST0051</v>
      </c>
      <c r="C445" s="4" t="str">
        <f aca="false">PROPER(TRIM(Orders_Raw!C445))</f>
        <v>Ahmed Ajayi</v>
      </c>
      <c r="D445" s="6" t="n">
        <f aca="false">IFERROR(DATEVALUE(Orders_Raw!D445),"")</f>
        <v>46296</v>
      </c>
      <c r="E445" s="4" t="str">
        <f aca="false">IF(D445="","No","Yes")</f>
        <v>Yes</v>
      </c>
      <c r="F445" s="4" t="n">
        <f aca="false">IFERROR(VALUE(SUBSTITUTE(SUBSTITUTE(SUBSTITUTE(Orders_Raw!G445,"$",""),"NGN",""),",","")),"")</f>
        <v>567.75</v>
      </c>
      <c r="G445" s="4" t="str">
        <f aca="false">IF(F445="","No","Yes")</f>
        <v>Yes</v>
      </c>
      <c r="H445" s="4" t="str">
        <f aca="false">Orders_Raw!F445</f>
        <v>2</v>
      </c>
      <c r="I445" s="4" t="str">
        <f aca="false">IF(H445="","No",IF(H445&lt;=0,"No","Yes"))</f>
        <v>Yes</v>
      </c>
      <c r="J445" s="4" t="str">
        <f aca="false">Orders_Raw!E445</f>
        <v>Charger</v>
      </c>
      <c r="K445" s="4" t="str">
        <f aca="false">Orders_Raw!H445</f>
        <v>2026-01-10 11:01</v>
      </c>
      <c r="L445" s="4" t="str">
        <f aca="false">IF(COUNTIF(Orders_Raw!$A$5:$A$539,A445)&gt;1,"YES","No")</f>
        <v>No</v>
      </c>
      <c r="M445" s="4" t="str">
        <f aca="false">IF(COUNTIFS($B$5:$B$539,B445,$D$5:$D$539,D445,$F$5:$F$539,F445)&gt;1,"YES","No")</f>
        <v>No</v>
      </c>
      <c r="N445" s="4" t="str">
        <f aca="false">IFERROR(INDEX(Customer_Master!$B$5:$B$64,MATCH(B445,Customer_Master!$A$5:$A$64,0)),"UNMATCHED")</f>
        <v>Ahmed Ajayi</v>
      </c>
      <c r="O445" s="4" t="str">
        <f aca="false">IFERROR(INDEX(Customer_Master!$C$5:$C$64,MATCH(B445,Customer_Master!$A$5:$A$64,0)),"UNMATCHED")</f>
        <v>Champions</v>
      </c>
      <c r="P445" s="4" t="str">
        <f aca="false">IFERROR(INDEX(Customer_Master!$D$5:$D$64,MATCH(B445,Customer_Master!$A$5:$A$64,0)),"UNMATCHED")</f>
        <v>Abuja</v>
      </c>
      <c r="Q445" s="4" t="str">
        <f aca="false">IF(N445="UNMATCHED","Unmatched","Matched")</f>
        <v>Matched</v>
      </c>
      <c r="R445" s="4" t="str">
        <f aca="false">IF(OR(E445="No",G445="No",I445="No",L445="YES",Q445="Unmatched"),"NEEDS REVIEW","OK")</f>
        <v>OK</v>
      </c>
    </row>
    <row r="446" customFormat="false" ht="15" hidden="false" customHeight="false" outlineLevel="0" collapsed="false">
      <c r="A446" s="4" t="str">
        <f aca="false">Orders_Raw!A446</f>
        <v>ORD00403</v>
      </c>
      <c r="B446" s="4" t="str">
        <f aca="false">TRIM(UPPER(Orders_Raw!B446))</f>
        <v>CUST0050</v>
      </c>
      <c r="C446" s="4" t="str">
        <f aca="false">PROPER(TRIM(Orders_Raw!C446))</f>
        <v>Ngozi Duru</v>
      </c>
      <c r="D446" s="6" t="n">
        <f aca="false">IFERROR(DATEVALUE(Orders_Raw!D446),"")</f>
        <v>46175</v>
      </c>
      <c r="E446" s="4" t="str">
        <f aca="false">IF(D446="","No","Yes")</f>
        <v>Yes</v>
      </c>
      <c r="F446" s="4" t="n">
        <f aca="false">IFERROR(VALUE(SUBSTITUTE(SUBSTITUTE(SUBSTITUTE(Orders_Raw!G446,"$",""),"NGN",""),",","")),"")</f>
        <v>1994.97</v>
      </c>
      <c r="G446" s="4" t="str">
        <f aca="false">IF(F446="","No","Yes")</f>
        <v>Yes</v>
      </c>
      <c r="H446" s="4" t="str">
        <f aca="false">Orders_Raw!F446</f>
        <v>2</v>
      </c>
      <c r="I446" s="4" t="str">
        <f aca="false">IF(H446="","No",IF(H446&lt;=0,"No","Yes"))</f>
        <v>Yes</v>
      </c>
      <c r="J446" s="4" t="str">
        <f aca="false">Orders_Raw!E446</f>
        <v>Monitor</v>
      </c>
      <c r="K446" s="4" t="str">
        <f aca="false">Orders_Raw!H446</f>
        <v>2026-06-02 14:15</v>
      </c>
      <c r="L446" s="4" t="str">
        <f aca="false">IF(COUNTIF(Orders_Raw!$A$5:$A$539,A446)&gt;1,"YES","No")</f>
        <v>No</v>
      </c>
      <c r="M446" s="4" t="str">
        <f aca="false">IF(COUNTIFS($B$5:$B$539,B446,$D$5:$D$539,D446,$F$5:$F$539,F446)&gt;1,"YES","No")</f>
        <v>No</v>
      </c>
      <c r="N446" s="4" t="str">
        <f aca="false">IFERROR(INDEX(Customer_Master!$B$5:$B$64,MATCH(B446,Customer_Master!$A$5:$A$64,0)),"UNMATCHED")</f>
        <v>Ngozi Duru</v>
      </c>
      <c r="O446" s="4" t="str">
        <f aca="false">IFERROR(INDEX(Customer_Master!$C$5:$C$64,MATCH(B446,Customer_Master!$A$5:$A$64,0)),"UNMATCHED")</f>
        <v>New</v>
      </c>
      <c r="P446" s="4" t="str">
        <f aca="false">IFERROR(INDEX(Customer_Master!$D$5:$D$64,MATCH(B446,Customer_Master!$A$5:$A$64,0)),"UNMATCHED")</f>
        <v>Kano</v>
      </c>
      <c r="Q446" s="4" t="str">
        <f aca="false">IF(N446="UNMATCHED","Unmatched","Matched")</f>
        <v>Matched</v>
      </c>
      <c r="R446" s="4" t="str">
        <f aca="false">IF(OR(E446="No",G446="No",I446="No",L446="YES",Q446="Unmatched"),"NEEDS REVIEW","OK")</f>
        <v>OK</v>
      </c>
    </row>
    <row r="447" customFormat="false" ht="15" hidden="false" customHeight="false" outlineLevel="0" collapsed="false">
      <c r="A447" s="4" t="str">
        <f aca="false">Orders_Raw!A447</f>
        <v>ORD00081</v>
      </c>
      <c r="B447" s="4" t="str">
        <f aca="false">TRIM(UPPER(Orders_Raw!B447))</f>
        <v>CUST0039</v>
      </c>
      <c r="C447" s="4" t="str">
        <f aca="false">PROPER(TRIM(Orders_Raw!C447))</f>
        <v>Samuel Lawal</v>
      </c>
      <c r="D447" s="6" t="n">
        <f aca="false">IFERROR(DATEVALUE(Orders_Raw!D447),"")</f>
        <v>46108</v>
      </c>
      <c r="E447" s="4" t="str">
        <f aca="false">IF(D447="","No","Yes")</f>
        <v>Yes</v>
      </c>
      <c r="F447" s="4" t="n">
        <f aca="false">IFERROR(VALUE(SUBSTITUTE(SUBSTITUTE(SUBSTITUTE(Orders_Raw!G447,"$",""),"NGN",""),",","")),"")</f>
        <v>2472.22</v>
      </c>
      <c r="G447" s="4" t="str">
        <f aca="false">IF(F447="","No","Yes")</f>
        <v>Yes</v>
      </c>
      <c r="H447" s="4" t="str">
        <f aca="false">Orders_Raw!F447</f>
        <v>1</v>
      </c>
      <c r="I447" s="4" t="str">
        <f aca="false">IF(H447="","No",IF(H447&lt;=0,"No","Yes"))</f>
        <v>Yes</v>
      </c>
      <c r="J447" s="4" t="str">
        <f aca="false">Orders_Raw!E447</f>
        <v>Charger</v>
      </c>
      <c r="K447" s="4" t="str">
        <f aca="false">Orders_Raw!H447</f>
        <v>2026-03-27 17:13</v>
      </c>
      <c r="L447" s="4" t="str">
        <f aca="false">IF(COUNTIF(Orders_Raw!$A$5:$A$539,A447)&gt;1,"YES","No")</f>
        <v>No</v>
      </c>
      <c r="M447" s="4" t="str">
        <f aca="false">IF(COUNTIFS($B$5:$B$539,B447,$D$5:$D$539,D447,$F$5:$F$539,F447)&gt;1,"YES","No")</f>
        <v>No</v>
      </c>
      <c r="N447" s="4" t="str">
        <f aca="false">IFERROR(INDEX(Customer_Master!$B$5:$B$64,MATCH(B447,Customer_Master!$A$5:$A$64,0)),"UNMATCHED")</f>
        <v>Samuel Lawal</v>
      </c>
      <c r="O447" s="4" t="str">
        <f aca="false">IFERROR(INDEX(Customer_Master!$C$5:$C$64,MATCH(B447,Customer_Master!$A$5:$A$64,0)),"UNMATCHED")</f>
        <v>At Risk</v>
      </c>
      <c r="P447" s="4" t="str">
        <f aca="false">IFERROR(INDEX(Customer_Master!$D$5:$D$64,MATCH(B447,Customer_Master!$A$5:$A$64,0)),"UNMATCHED")</f>
        <v>Kano</v>
      </c>
      <c r="Q447" s="4" t="str">
        <f aca="false">IF(N447="UNMATCHED","Unmatched","Matched")</f>
        <v>Matched</v>
      </c>
      <c r="R447" s="4" t="str">
        <f aca="false">IF(OR(E447="No",G447="No",I447="No",L447="YES",Q447="Unmatched"),"NEEDS REVIEW","OK")</f>
        <v>OK</v>
      </c>
    </row>
    <row r="448" customFormat="false" ht="15" hidden="false" customHeight="false" outlineLevel="0" collapsed="false">
      <c r="A448" s="4" t="str">
        <f aca="false">Orders_Raw!A448</f>
        <v>ORD00465</v>
      </c>
      <c r="B448" s="4" t="str">
        <f aca="false">TRIM(UPPER(Orders_Raw!B448))</f>
        <v>CUST0055</v>
      </c>
      <c r="C448" s="4" t="str">
        <f aca="false">PROPER(TRIM(Orders_Raw!C448))</f>
        <v>Amaka Adamu</v>
      </c>
      <c r="D448" s="6" t="n">
        <f aca="false">IFERROR(DATEVALUE(Orders_Raw!D448),"")</f>
        <v>46170</v>
      </c>
      <c r="E448" s="4" t="str">
        <f aca="false">IF(D448="","No","Yes")</f>
        <v>Yes</v>
      </c>
      <c r="F448" s="4" t="n">
        <f aca="false">IFERROR(VALUE(SUBSTITUTE(SUBSTITUTE(SUBSTITUTE(Orders_Raw!G448,"$",""),"NGN",""),",","")),"")</f>
        <v>894.33</v>
      </c>
      <c r="G448" s="4" t="str">
        <f aca="false">IF(F448="","No","Yes")</f>
        <v>Yes</v>
      </c>
      <c r="H448" s="4" t="str">
        <f aca="false">Orders_Raw!F448</f>
        <v>3</v>
      </c>
      <c r="I448" s="4" t="str">
        <f aca="false">IF(H448="","No",IF(H448&lt;=0,"No","Yes"))</f>
        <v>Yes</v>
      </c>
      <c r="J448" s="4" t="str">
        <f aca="false">Orders_Raw!E448</f>
        <v>Printer</v>
      </c>
      <c r="K448" s="4" t="str">
        <f aca="false">Orders_Raw!H448</f>
        <v>2026-05-28 15:51</v>
      </c>
      <c r="L448" s="4" t="str">
        <f aca="false">IF(COUNTIF(Orders_Raw!$A$5:$A$539,A448)&gt;1,"YES","No")</f>
        <v>No</v>
      </c>
      <c r="M448" s="4" t="str">
        <f aca="false">IF(COUNTIFS($B$5:$B$539,B448,$D$5:$D$539,D448,$F$5:$F$539,F448)&gt;1,"YES","No")</f>
        <v>No</v>
      </c>
      <c r="N448" s="4" t="str">
        <f aca="false">IFERROR(INDEX(Customer_Master!$B$5:$B$64,MATCH(B448,Customer_Master!$A$5:$A$64,0)),"UNMATCHED")</f>
        <v>Amaka Adamu</v>
      </c>
      <c r="O448" s="4" t="str">
        <f aca="false">IFERROR(INDEX(Customer_Master!$C$5:$C$64,MATCH(B448,Customer_Master!$A$5:$A$64,0)),"UNMATCHED")</f>
        <v>Loyal</v>
      </c>
      <c r="P448" s="4" t="str">
        <f aca="false">IFERROR(INDEX(Customer_Master!$D$5:$D$64,MATCH(B448,Customer_Master!$A$5:$A$64,0)),"UNMATCHED")</f>
        <v>Kaduna</v>
      </c>
      <c r="Q448" s="4" t="str">
        <f aca="false">IF(N448="UNMATCHED","Unmatched","Matched")</f>
        <v>Matched</v>
      </c>
      <c r="R448" s="4" t="str">
        <f aca="false">IF(OR(E448="No",G448="No",I448="No",L448="YES",Q448="Unmatched"),"NEEDS REVIEW","OK")</f>
        <v>OK</v>
      </c>
    </row>
    <row r="449" customFormat="false" ht="15" hidden="false" customHeight="false" outlineLevel="0" collapsed="false">
      <c r="A449" s="4" t="str">
        <f aca="false">Orders_Raw!A449</f>
        <v>ORD00276</v>
      </c>
      <c r="B449" s="4" t="str">
        <f aca="false">TRIM(UPPER(Orders_Raw!B449))</f>
        <v>CUST0008</v>
      </c>
      <c r="C449" s="4" t="str">
        <f aca="false">PROPER(TRIM(Orders_Raw!C449))</f>
        <v>Victor Duru</v>
      </c>
      <c r="D449" s="6" t="n">
        <f aca="false">IFERROR(DATEVALUE(Orders_Raw!D449),"")</f>
        <v>46027</v>
      </c>
      <c r="E449" s="4" t="str">
        <f aca="false">IF(D449="","No","Yes")</f>
        <v>Yes</v>
      </c>
      <c r="F449" s="4" t="n">
        <f aca="false">IFERROR(VALUE(SUBSTITUTE(SUBSTITUTE(SUBSTITUTE(Orders_Raw!G449,"$",""),"NGN",""),",","")),"")</f>
        <v>2238.77</v>
      </c>
      <c r="G449" s="4" t="str">
        <f aca="false">IF(F449="","No","Yes")</f>
        <v>Yes</v>
      </c>
      <c r="H449" s="4" t="str">
        <f aca="false">Orders_Raw!F449</f>
        <v>1</v>
      </c>
      <c r="I449" s="4" t="str">
        <f aca="false">IF(H449="","No",IF(H449&lt;=0,"No","Yes"))</f>
        <v>Yes</v>
      </c>
      <c r="J449" s="4" t="str">
        <f aca="false">Orders_Raw!E449</f>
        <v>Keyboard</v>
      </c>
      <c r="K449" s="4" t="str">
        <f aca="false">Orders_Raw!H449</f>
        <v>2026-05-01 14:23</v>
      </c>
      <c r="L449" s="4" t="str">
        <f aca="false">IF(COUNTIF(Orders_Raw!$A$5:$A$539,A449)&gt;1,"YES","No")</f>
        <v>No</v>
      </c>
      <c r="M449" s="4" t="str">
        <f aca="false">IF(COUNTIFS($B$5:$B$539,B449,$D$5:$D$539,D449,$F$5:$F$539,F449)&gt;1,"YES","No")</f>
        <v>No</v>
      </c>
      <c r="N449" s="4" t="str">
        <f aca="false">IFERROR(INDEX(Customer_Master!$B$5:$B$64,MATCH(B449,Customer_Master!$A$5:$A$64,0)),"UNMATCHED")</f>
        <v>Victor Duru</v>
      </c>
      <c r="O449" s="4" t="str">
        <f aca="false">IFERROR(INDEX(Customer_Master!$C$5:$C$64,MATCH(B449,Customer_Master!$A$5:$A$64,0)),"UNMATCHED")</f>
        <v>Loyal</v>
      </c>
      <c r="P449" s="4" t="str">
        <f aca="false">IFERROR(INDEX(Customer_Master!$D$5:$D$64,MATCH(B449,Customer_Master!$A$5:$A$64,0)),"UNMATCHED")</f>
        <v>Enugu</v>
      </c>
      <c r="Q449" s="4" t="str">
        <f aca="false">IF(N449="UNMATCHED","Unmatched","Matched")</f>
        <v>Matched</v>
      </c>
      <c r="R449" s="4" t="str">
        <f aca="false">IF(OR(E449="No",G449="No",I449="No",L449="YES",Q449="Unmatched"),"NEEDS REVIEW","OK")</f>
        <v>OK</v>
      </c>
    </row>
    <row r="450" customFormat="false" ht="15" hidden="false" customHeight="false" outlineLevel="0" collapsed="false">
      <c r="A450" s="4" t="str">
        <f aca="false">Orders_Raw!A450</f>
        <v>ORD00027</v>
      </c>
      <c r="B450" s="4" t="str">
        <f aca="false">TRIM(UPPER(Orders_Raw!B450))</f>
        <v>CUST0049</v>
      </c>
      <c r="C450" s="4" t="str">
        <f aca="false">PROPER(TRIM(Orders_Raw!C450))</f>
        <v>Bisi Ajayi</v>
      </c>
      <c r="D450" s="6" t="n">
        <f aca="false">IFERROR(DATEVALUE(Orders_Raw!D450),"")</f>
        <v>46219</v>
      </c>
      <c r="E450" s="4" t="str">
        <f aca="false">IF(D450="","No","Yes")</f>
        <v>Yes</v>
      </c>
      <c r="F450" s="4" t="n">
        <f aca="false">IFERROR(VALUE(SUBSTITUTE(SUBSTITUTE(SUBSTITUTE(Orders_Raw!G450,"$",""),"NGN",""),",","")),"")</f>
        <v>1219.22</v>
      </c>
      <c r="G450" s="4" t="str">
        <f aca="false">IF(F450="","No","Yes")</f>
        <v>Yes</v>
      </c>
      <c r="H450" s="4" t="str">
        <f aca="false">Orders_Raw!F450</f>
        <v>2</v>
      </c>
      <c r="I450" s="4" t="str">
        <f aca="false">IF(H450="","No",IF(H450&lt;=0,"No","Yes"))</f>
        <v>Yes</v>
      </c>
      <c r="J450" s="4" t="str">
        <f aca="false">Orders_Raw!E450</f>
        <v>Charger</v>
      </c>
      <c r="K450" s="4" t="str">
        <f aca="false">Orders_Raw!H450</f>
        <v>2026-07-16 12:21</v>
      </c>
      <c r="L450" s="4" t="str">
        <f aca="false">IF(COUNTIF(Orders_Raw!$A$5:$A$539,A450)&gt;1,"YES","No")</f>
        <v>No</v>
      </c>
      <c r="M450" s="4" t="str">
        <f aca="false">IF(COUNTIFS($B$5:$B$539,B450,$D$5:$D$539,D450,$F$5:$F$539,F450)&gt;1,"YES","No")</f>
        <v>No</v>
      </c>
      <c r="N450" s="4" t="str">
        <f aca="false">IFERROR(INDEX(Customer_Master!$B$5:$B$64,MATCH(B450,Customer_Master!$A$5:$A$64,0)),"UNMATCHED")</f>
        <v>Bisi Ajayi</v>
      </c>
      <c r="O450" s="4" t="str">
        <f aca="false">IFERROR(INDEX(Customer_Master!$C$5:$C$64,MATCH(B450,Customer_Master!$A$5:$A$64,0)),"UNMATCHED")</f>
        <v>Loyal</v>
      </c>
      <c r="P450" s="4" t="str">
        <f aca="false">IFERROR(INDEX(Customer_Master!$D$5:$D$64,MATCH(B450,Customer_Master!$A$5:$A$64,0)),"UNMATCHED")</f>
        <v>Abuja</v>
      </c>
      <c r="Q450" s="4" t="str">
        <f aca="false">IF(N450="UNMATCHED","Unmatched","Matched")</f>
        <v>Matched</v>
      </c>
      <c r="R450" s="4" t="str">
        <f aca="false">IF(OR(E450="No",G450="No",I450="No",L450="YES",Q450="Unmatched"),"NEEDS REVIEW","OK")</f>
        <v>OK</v>
      </c>
    </row>
    <row r="451" customFormat="false" ht="15" hidden="false" customHeight="false" outlineLevel="0" collapsed="false">
      <c r="A451" s="4" t="str">
        <f aca="false">Orders_Raw!A451</f>
        <v>ORD00380</v>
      </c>
      <c r="B451" s="4" t="str">
        <f aca="false">TRIM(UPPER(Orders_Raw!B451))</f>
        <v>CUST0052</v>
      </c>
      <c r="C451" s="4" t="str">
        <f aca="false">PROPER(TRIM(Orders_Raw!C451))</f>
        <v>Mary Adeyemi</v>
      </c>
      <c r="D451" s="6" t="n">
        <f aca="false">IFERROR(DATEVALUE(Orders_Raw!D451),"")</f>
        <v>46160</v>
      </c>
      <c r="E451" s="4" t="str">
        <f aca="false">IF(D451="","No","Yes")</f>
        <v>Yes</v>
      </c>
      <c r="F451" s="4" t="n">
        <f aca="false">IFERROR(VALUE(SUBSTITUTE(SUBSTITUTE(SUBSTITUTE(Orders_Raw!G451,"$",""),"NGN",""),",","")),"")</f>
        <v>636.6</v>
      </c>
      <c r="G451" s="4" t="str">
        <f aca="false">IF(F451="","No","Yes")</f>
        <v>Yes</v>
      </c>
      <c r="H451" s="4" t="str">
        <f aca="false">Orders_Raw!F451</f>
        <v>2</v>
      </c>
      <c r="I451" s="4" t="str">
        <f aca="false">IF(H451="","No",IF(H451&lt;=0,"No","Yes"))</f>
        <v>Yes</v>
      </c>
      <c r="J451" s="4" t="str">
        <f aca="false">Orders_Raw!E451</f>
        <v>Keyboard</v>
      </c>
      <c r="K451" s="4" t="str">
        <f aca="false">Orders_Raw!H451</f>
        <v>2026-05-18 15:43</v>
      </c>
      <c r="L451" s="4" t="str">
        <f aca="false">IF(COUNTIF(Orders_Raw!$A$5:$A$539,A451)&gt;1,"YES","No")</f>
        <v>No</v>
      </c>
      <c r="M451" s="4" t="str">
        <f aca="false">IF(COUNTIFS($B$5:$B$539,B451,$D$5:$D$539,D451,$F$5:$F$539,F451)&gt;1,"YES","No")</f>
        <v>No</v>
      </c>
      <c r="N451" s="4" t="str">
        <f aca="false">IFERROR(INDEX(Customer_Master!$B$5:$B$64,MATCH(B451,Customer_Master!$A$5:$A$64,0)),"UNMATCHED")</f>
        <v>Mary Adeyemi</v>
      </c>
      <c r="O451" s="4" t="str">
        <f aca="false">IFERROR(INDEX(Customer_Master!$C$5:$C$64,MATCH(B451,Customer_Master!$A$5:$A$64,0)),"UNMATCHED")</f>
        <v>Loyal</v>
      </c>
      <c r="P451" s="4" t="str">
        <f aca="false">IFERROR(INDEX(Customer_Master!$D$5:$D$64,MATCH(B451,Customer_Master!$A$5:$A$64,0)),"UNMATCHED")</f>
        <v>Abuja</v>
      </c>
      <c r="Q451" s="4" t="str">
        <f aca="false">IF(N451="UNMATCHED","Unmatched","Matched")</f>
        <v>Matched</v>
      </c>
      <c r="R451" s="4" t="str">
        <f aca="false">IF(OR(E451="No",G451="No",I451="No",L451="YES",Q451="Unmatched"),"NEEDS REVIEW","OK")</f>
        <v>OK</v>
      </c>
    </row>
    <row r="452" customFormat="false" ht="15" hidden="false" customHeight="false" outlineLevel="0" collapsed="false">
      <c r="A452" s="4" t="str">
        <f aca="false">Orders_Raw!A452</f>
        <v>ORD00054</v>
      </c>
      <c r="B452" s="4" t="str">
        <f aca="false">TRIM(UPPER(Orders_Raw!B452))</f>
        <v>CUST0049</v>
      </c>
      <c r="C452" s="4" t="str">
        <f aca="false">PROPER(TRIM(Orders_Raw!C452))</f>
        <v>Bisi Ajayi</v>
      </c>
      <c r="D452" s="6" t="str">
        <f aca="false">IFERROR(DATEVALUE(Orders_Raw!D452),"")</f>
        <v/>
      </c>
      <c r="E452" s="4" t="str">
        <f aca="false">IF(D452="","No","Yes")</f>
        <v>No</v>
      </c>
      <c r="F452" s="4" t="n">
        <f aca="false">IFERROR(VALUE(SUBSTITUTE(SUBSTITUTE(SUBSTITUTE(Orders_Raw!G452,"$",""),"NGN",""),",","")),"")</f>
        <v>2291.44</v>
      </c>
      <c r="G452" s="4" t="str">
        <f aca="false">IF(F452="","No","Yes")</f>
        <v>Yes</v>
      </c>
      <c r="H452" s="4" t="str">
        <f aca="false">Orders_Raw!F452</f>
        <v>3</v>
      </c>
      <c r="I452" s="4" t="str">
        <f aca="false">IF(H452="","No",IF(H452&lt;=0,"No","Yes"))</f>
        <v>Yes</v>
      </c>
      <c r="J452" s="4" t="str">
        <f aca="false">Orders_Raw!E452</f>
        <v>Phone</v>
      </c>
      <c r="K452" s="4" t="str">
        <f aca="false">Orders_Raw!H452</f>
        <v>2026-05-13 15:22</v>
      </c>
      <c r="L452" s="4" t="str">
        <f aca="false">IF(COUNTIF(Orders_Raw!$A$5:$A$539,A452)&gt;1,"YES","No")</f>
        <v>No</v>
      </c>
      <c r="M452" s="4" t="str">
        <f aca="false">IF(COUNTIFS($B$5:$B$539,B452,$D$5:$D$539,D452,$F$5:$F$539,F452)&gt;1,"YES","No")</f>
        <v>No</v>
      </c>
      <c r="N452" s="4" t="str">
        <f aca="false">IFERROR(INDEX(Customer_Master!$B$5:$B$64,MATCH(B452,Customer_Master!$A$5:$A$64,0)),"UNMATCHED")</f>
        <v>Bisi Ajayi</v>
      </c>
      <c r="O452" s="4" t="str">
        <f aca="false">IFERROR(INDEX(Customer_Master!$C$5:$C$64,MATCH(B452,Customer_Master!$A$5:$A$64,0)),"UNMATCHED")</f>
        <v>Loyal</v>
      </c>
      <c r="P452" s="4" t="str">
        <f aca="false">IFERROR(INDEX(Customer_Master!$D$5:$D$64,MATCH(B452,Customer_Master!$A$5:$A$64,0)),"UNMATCHED")</f>
        <v>Abuja</v>
      </c>
      <c r="Q452" s="4" t="str">
        <f aca="false">IF(N452="UNMATCHED","Unmatched","Matched")</f>
        <v>Matched</v>
      </c>
      <c r="R452" s="4" t="str">
        <f aca="false">IF(OR(E452="No",G452="No",I452="No",L452="YES",Q452="Unmatched"),"NEEDS REVIEW","OK")</f>
        <v>NEEDS REVIEW</v>
      </c>
    </row>
    <row r="453" customFormat="false" ht="15" hidden="false" customHeight="false" outlineLevel="0" collapsed="false">
      <c r="A453" s="4" t="str">
        <f aca="false">Orders_Raw!A453</f>
        <v>ORD00515</v>
      </c>
      <c r="B453" s="4" t="str">
        <f aca="false">TRIM(UPPER(Orders_Raw!B453))</f>
        <v>CUST0012</v>
      </c>
      <c r="C453" s="4" t="str">
        <f aca="false">PROPER(TRIM(Orders_Raw!C453))</f>
        <v>Kemi Sani</v>
      </c>
      <c r="D453" s="6" t="n">
        <f aca="false">IFERROR(DATEVALUE(Orders_Raw!D453),"")</f>
        <v>46192</v>
      </c>
      <c r="E453" s="4" t="str">
        <f aca="false">IF(D453="","No","Yes")</f>
        <v>Yes</v>
      </c>
      <c r="F453" s="4" t="n">
        <f aca="false">IFERROR(VALUE(SUBSTITUTE(SUBSTITUTE(SUBSTITUTE(Orders_Raw!G453,"$",""),"NGN",""),",","")),"")</f>
        <v>757.69</v>
      </c>
      <c r="G453" s="4" t="str">
        <f aca="false">IF(F453="","No","Yes")</f>
        <v>Yes</v>
      </c>
      <c r="H453" s="4" t="str">
        <f aca="false">Orders_Raw!F453</f>
        <v>1</v>
      </c>
      <c r="I453" s="4" t="str">
        <f aca="false">IF(H453="","No",IF(H453&lt;=0,"No","Yes"))</f>
        <v>Yes</v>
      </c>
      <c r="J453" s="4" t="str">
        <f aca="false">Orders_Raw!E453</f>
        <v>Phone</v>
      </c>
      <c r="K453" s="4" t="str">
        <f aca="false">Orders_Raw!H453</f>
        <v>2026-06-19 18:28</v>
      </c>
      <c r="L453" s="4" t="str">
        <f aca="false">IF(COUNTIF(Orders_Raw!$A$5:$A$539,A453)&gt;1,"YES","No")</f>
        <v>No</v>
      </c>
      <c r="M453" s="4" t="str">
        <f aca="false">IF(COUNTIFS($B$5:$B$539,B453,$D$5:$D$539,D453,$F$5:$F$539,F453)&gt;1,"YES","No")</f>
        <v>No</v>
      </c>
      <c r="N453" s="4" t="str">
        <f aca="false">IFERROR(INDEX(Customer_Master!$B$5:$B$64,MATCH(B453,Customer_Master!$A$5:$A$64,0)),"UNMATCHED")</f>
        <v>Kemi Sani</v>
      </c>
      <c r="O453" s="4" t="str">
        <f aca="false">IFERROR(INDEX(Customer_Master!$C$5:$C$64,MATCH(B453,Customer_Master!$A$5:$A$64,0)),"UNMATCHED")</f>
        <v>Champions</v>
      </c>
      <c r="P453" s="4" t="str">
        <f aca="false">IFERROR(INDEX(Customer_Master!$D$5:$D$64,MATCH(B453,Customer_Master!$A$5:$A$64,0)),"UNMATCHED")</f>
        <v>Kaduna</v>
      </c>
      <c r="Q453" s="4" t="str">
        <f aca="false">IF(N453="UNMATCHED","Unmatched","Matched")</f>
        <v>Matched</v>
      </c>
      <c r="R453" s="4" t="str">
        <f aca="false">IF(OR(E453="No",G453="No",I453="No",L453="YES",Q453="Unmatched"),"NEEDS REVIEW","OK")</f>
        <v>OK</v>
      </c>
    </row>
    <row r="454" customFormat="false" ht="15" hidden="false" customHeight="false" outlineLevel="0" collapsed="false">
      <c r="A454" s="4" t="str">
        <f aca="false">Orders_Raw!A454</f>
        <v>ORD00233</v>
      </c>
      <c r="B454" s="4" t="str">
        <f aca="false">TRIM(UPPER(Orders_Raw!B454))</f>
        <v>CUSTO010</v>
      </c>
      <c r="C454" s="4" t="str">
        <f aca="false">PROPER(TRIM(Orders_Raw!C454))</f>
        <v>Esther Umeh</v>
      </c>
      <c r="D454" s="6" t="n">
        <f aca="false">IFERROR(DATEVALUE(Orders_Raw!D454),"")</f>
        <v>46189</v>
      </c>
      <c r="E454" s="4" t="str">
        <f aca="false">IF(D454="","No","Yes")</f>
        <v>Yes</v>
      </c>
      <c r="F454" s="4" t="n">
        <f aca="false">IFERROR(VALUE(SUBSTITUTE(SUBSTITUTE(SUBSTITUTE(Orders_Raw!G454,"$",""),"NGN",""),",","")),"")</f>
        <v>1108.65</v>
      </c>
      <c r="G454" s="4" t="str">
        <f aca="false">IF(F454="","No","Yes")</f>
        <v>Yes</v>
      </c>
      <c r="H454" s="4" t="str">
        <f aca="false">Orders_Raw!F454</f>
        <v>4</v>
      </c>
      <c r="I454" s="4" t="str">
        <f aca="false">IF(H454="","No",IF(H454&lt;=0,"No","Yes"))</f>
        <v>Yes</v>
      </c>
      <c r="J454" s="4" t="str">
        <f aca="false">Orders_Raw!E454</f>
        <v>Speaker</v>
      </c>
      <c r="K454" s="4" t="str">
        <f aca="false">Orders_Raw!H454</f>
        <v>2026-06-16 18:28</v>
      </c>
      <c r="L454" s="4" t="str">
        <f aca="false">IF(COUNTIF(Orders_Raw!$A$5:$A$539,A454)&gt;1,"YES","No")</f>
        <v>No</v>
      </c>
      <c r="M454" s="4" t="str">
        <f aca="false">IF(COUNTIFS($B$5:$B$539,B454,$D$5:$D$539,D454,$F$5:$F$539,F454)&gt;1,"YES","No")</f>
        <v>No</v>
      </c>
      <c r="N454" s="4" t="str">
        <f aca="false">IFERROR(INDEX(Customer_Master!$B$5:$B$64,MATCH(B454,Customer_Master!$A$5:$A$64,0)),"UNMATCHED")</f>
        <v>UNMATCHED</v>
      </c>
      <c r="O454" s="4" t="str">
        <f aca="false">IFERROR(INDEX(Customer_Master!$C$5:$C$64,MATCH(B454,Customer_Master!$A$5:$A$64,0)),"UNMATCHED")</f>
        <v>UNMATCHED</v>
      </c>
      <c r="P454" s="4" t="str">
        <f aca="false">IFERROR(INDEX(Customer_Master!$D$5:$D$64,MATCH(B454,Customer_Master!$A$5:$A$64,0)),"UNMATCHED")</f>
        <v>UNMATCHED</v>
      </c>
      <c r="Q454" s="4" t="str">
        <f aca="false">IF(N454="UNMATCHED","Unmatched","Matched")</f>
        <v>Unmatched</v>
      </c>
      <c r="R454" s="4" t="str">
        <f aca="false">IF(OR(E454="No",G454="No",I454="No",L454="YES",Q454="Unmatched"),"NEEDS REVIEW","OK")</f>
        <v>NEEDS REVIEW</v>
      </c>
    </row>
    <row r="455" customFormat="false" ht="15" hidden="false" customHeight="false" outlineLevel="0" collapsed="false">
      <c r="A455" s="4" t="str">
        <f aca="false">Orders_Raw!A455</f>
        <v>ORD00389</v>
      </c>
      <c r="B455" s="4" t="str">
        <f aca="false">TRIM(UPPER(Orders_Raw!B455))</f>
        <v>CUST0026</v>
      </c>
      <c r="C455" s="4" t="str">
        <f aca="false">PROPER(TRIM(Orders_Raw!C455))</f>
        <v>Amaka Yakubu</v>
      </c>
      <c r="D455" s="6" t="n">
        <f aca="false">IFERROR(DATEVALUE(Orders_Raw!D455),"")</f>
        <v>46169</v>
      </c>
      <c r="E455" s="4" t="str">
        <f aca="false">IF(D455="","No","Yes")</f>
        <v>Yes</v>
      </c>
      <c r="F455" s="4" t="n">
        <f aca="false">IFERROR(VALUE(SUBSTITUTE(SUBSTITUTE(SUBSTITUTE(Orders_Raw!G455,"$",""),"NGN",""),",","")),"")</f>
        <v>2448.49</v>
      </c>
      <c r="G455" s="4" t="str">
        <f aca="false">IF(F455="","No","Yes")</f>
        <v>Yes</v>
      </c>
      <c r="H455" s="4" t="str">
        <f aca="false">Orders_Raw!F455</f>
        <v>5</v>
      </c>
      <c r="I455" s="4" t="str">
        <f aca="false">IF(H455="","No",IF(H455&lt;=0,"No","Yes"))</f>
        <v>Yes</v>
      </c>
      <c r="J455" s="4" t="str">
        <f aca="false">Orders_Raw!E455</f>
        <v>Charger</v>
      </c>
      <c r="K455" s="4" t="str">
        <f aca="false">Orders_Raw!H455</f>
        <v>2026-05-27 16:27</v>
      </c>
      <c r="L455" s="4" t="str">
        <f aca="false">IF(COUNTIF(Orders_Raw!$A$5:$A$539,A455)&gt;1,"YES","No")</f>
        <v>No</v>
      </c>
      <c r="M455" s="4" t="str">
        <f aca="false">IF(COUNTIFS($B$5:$B$539,B455,$D$5:$D$539,D455,$F$5:$F$539,F455)&gt;1,"YES","No")</f>
        <v>No</v>
      </c>
      <c r="N455" s="4" t="str">
        <f aca="false">IFERROR(INDEX(Customer_Master!$B$5:$B$64,MATCH(B455,Customer_Master!$A$5:$A$64,0)),"UNMATCHED")</f>
        <v>Amaka Yakubu</v>
      </c>
      <c r="O455" s="4" t="str">
        <f aca="false">IFERROR(INDEX(Customer_Master!$C$5:$C$64,MATCH(B455,Customer_Master!$A$5:$A$64,0)),"UNMATCHED")</f>
        <v>Lost / Low-Value</v>
      </c>
      <c r="P455" s="4" t="str">
        <f aca="false">IFERROR(INDEX(Customer_Master!$D$5:$D$64,MATCH(B455,Customer_Master!$A$5:$A$64,0)),"UNMATCHED")</f>
        <v>Kaduna</v>
      </c>
      <c r="Q455" s="4" t="str">
        <f aca="false">IF(N455="UNMATCHED","Unmatched","Matched")</f>
        <v>Matched</v>
      </c>
      <c r="R455" s="4" t="str">
        <f aca="false">IF(OR(E455="No",G455="No",I455="No",L455="YES",Q455="Unmatched"),"NEEDS REVIEW","OK")</f>
        <v>OK</v>
      </c>
    </row>
    <row r="456" customFormat="false" ht="15" hidden="false" customHeight="false" outlineLevel="0" collapsed="false">
      <c r="A456" s="4" t="str">
        <f aca="false">Orders_Raw!A456</f>
        <v>ORD00413</v>
      </c>
      <c r="B456" s="4" t="str">
        <f aca="false">TRIM(UPPER(Orders_Raw!B456))</f>
        <v>CUST0032</v>
      </c>
      <c r="C456" s="4" t="str">
        <f aca="false">PROPER(TRIM(Orders_Raw!C456))</f>
        <v>Ola Obi</v>
      </c>
      <c r="D456" s="6" t="n">
        <f aca="false">IFERROR(DATEVALUE(Orders_Raw!D456),"")</f>
        <v>46038</v>
      </c>
      <c r="E456" s="4" t="str">
        <f aca="false">IF(D456="","No","Yes")</f>
        <v>Yes</v>
      </c>
      <c r="F456" s="4" t="n">
        <f aca="false">IFERROR(VALUE(SUBSTITUTE(SUBSTITUTE(SUBSTITUTE(Orders_Raw!G456,"$",""),"NGN",""),",","")),"")</f>
        <v>1616.77</v>
      </c>
      <c r="G456" s="4" t="str">
        <f aca="false">IF(F456="","No","Yes")</f>
        <v>Yes</v>
      </c>
      <c r="H456" s="4" t="str">
        <f aca="false">Orders_Raw!F456</f>
        <v>5</v>
      </c>
      <c r="I456" s="4" t="str">
        <f aca="false">IF(H456="","No",IF(H456&lt;=0,"No","Yes"))</f>
        <v>Yes</v>
      </c>
      <c r="J456" s="4" t="str">
        <f aca="false">Orders_Raw!E456</f>
        <v>Keyboard</v>
      </c>
      <c r="K456" s="4" t="str">
        <f aca="false">Orders_Raw!H456</f>
        <v>2026-01-16 16:50</v>
      </c>
      <c r="L456" s="4" t="str">
        <f aca="false">IF(COUNTIF(Orders_Raw!$A$5:$A$539,A456)&gt;1,"YES","No")</f>
        <v>No</v>
      </c>
      <c r="M456" s="4" t="str">
        <f aca="false">IF(COUNTIFS($B$5:$B$539,B456,$D$5:$D$539,D456,$F$5:$F$539,F456)&gt;1,"YES","No")</f>
        <v>No</v>
      </c>
      <c r="N456" s="4" t="str">
        <f aca="false">IFERROR(INDEX(Customer_Master!$B$5:$B$64,MATCH(B456,Customer_Master!$A$5:$A$64,0)),"UNMATCHED")</f>
        <v>Ola Obi</v>
      </c>
      <c r="O456" s="4" t="str">
        <f aca="false">IFERROR(INDEX(Customer_Master!$C$5:$C$64,MATCH(B456,Customer_Master!$A$5:$A$64,0)),"UNMATCHED")</f>
        <v>Lost / Low-Value</v>
      </c>
      <c r="P456" s="4" t="str">
        <f aca="false">IFERROR(INDEX(Customer_Master!$D$5:$D$64,MATCH(B456,Customer_Master!$A$5:$A$64,0)),"UNMATCHED")</f>
        <v>Abuja</v>
      </c>
      <c r="Q456" s="4" t="str">
        <f aca="false">IF(N456="UNMATCHED","Unmatched","Matched")</f>
        <v>Matched</v>
      </c>
      <c r="R456" s="4" t="str">
        <f aca="false">IF(OR(E456="No",G456="No",I456="No",L456="YES",Q456="Unmatched"),"NEEDS REVIEW","OK")</f>
        <v>OK</v>
      </c>
    </row>
    <row r="457" customFormat="false" ht="15" hidden="false" customHeight="false" outlineLevel="0" collapsed="false">
      <c r="A457" s="4" t="str">
        <f aca="false">Orders_Raw!A457</f>
        <v>ORD00316</v>
      </c>
      <c r="B457" s="4" t="str">
        <f aca="false">TRIM(UPPER(Orders_Raw!B457))</f>
        <v>CUST0056</v>
      </c>
      <c r="C457" s="4" t="str">
        <f aca="false">PROPER(TRIM(Orders_Raw!C457))</f>
        <v>Tunde Yakubu</v>
      </c>
      <c r="D457" s="6" t="n">
        <f aca="false">IFERROR(DATEVALUE(Orders_Raw!D457),"")</f>
        <v>46208</v>
      </c>
      <c r="E457" s="4" t="str">
        <f aca="false">IF(D457="","No","Yes")</f>
        <v>Yes</v>
      </c>
      <c r="F457" s="4" t="n">
        <f aca="false">IFERROR(VALUE(SUBSTITUTE(SUBSTITUTE(SUBSTITUTE(Orders_Raw!G457,"$",""),"NGN",""),",","")),"")</f>
        <v>571.6</v>
      </c>
      <c r="G457" s="4" t="str">
        <f aca="false">IF(F457="","No","Yes")</f>
        <v>Yes</v>
      </c>
      <c r="H457" s="4" t="str">
        <f aca="false">Orders_Raw!F457</f>
        <v>3</v>
      </c>
      <c r="I457" s="4" t="str">
        <f aca="false">IF(H457="","No",IF(H457&lt;=0,"No","Yes"))</f>
        <v>Yes</v>
      </c>
      <c r="J457" s="4" t="str">
        <f aca="false">Orders_Raw!E457</f>
        <v>Phone</v>
      </c>
      <c r="K457" s="4" t="str">
        <f aca="false">Orders_Raw!H457</f>
        <v>2026-07-05 14:42</v>
      </c>
      <c r="L457" s="4" t="str">
        <f aca="false">IF(COUNTIF(Orders_Raw!$A$5:$A$539,A457)&gt;1,"YES","No")</f>
        <v>No</v>
      </c>
      <c r="M457" s="4" t="str">
        <f aca="false">IF(COUNTIFS($B$5:$B$539,B457,$D$5:$D$539,D457,$F$5:$F$539,F457)&gt;1,"YES","No")</f>
        <v>No</v>
      </c>
      <c r="N457" s="4" t="str">
        <f aca="false">IFERROR(INDEX(Customer_Master!$B$5:$B$64,MATCH(B457,Customer_Master!$A$5:$A$64,0)),"UNMATCHED")</f>
        <v>Tunde Yakubu</v>
      </c>
      <c r="O457" s="4" t="str">
        <f aca="false">IFERROR(INDEX(Customer_Master!$C$5:$C$64,MATCH(B457,Customer_Master!$A$5:$A$64,0)),"UNMATCHED")</f>
        <v>Lost / Low-Value</v>
      </c>
      <c r="P457" s="4" t="str">
        <f aca="false">IFERROR(INDEX(Customer_Master!$D$5:$D$64,MATCH(B457,Customer_Master!$A$5:$A$64,0)),"UNMATCHED")</f>
        <v>Kano</v>
      </c>
      <c r="Q457" s="4" t="str">
        <f aca="false">IF(N457="UNMATCHED","Unmatched","Matched")</f>
        <v>Matched</v>
      </c>
      <c r="R457" s="4" t="str">
        <f aca="false">IF(OR(E457="No",G457="No",I457="No",L457="YES",Q457="Unmatched"),"NEEDS REVIEW","OK")</f>
        <v>OK</v>
      </c>
    </row>
    <row r="458" customFormat="false" ht="15" hidden="false" customHeight="false" outlineLevel="0" collapsed="false">
      <c r="A458" s="4" t="str">
        <f aca="false">Orders_Raw!A458</f>
        <v>ORD00172</v>
      </c>
      <c r="B458" s="4" t="str">
        <f aca="false">TRIM(UPPER(Orders_Raw!B458))</f>
        <v>CUST0043</v>
      </c>
      <c r="C458" s="4" t="str">
        <f aca="false">PROPER(TRIM(Orders_Raw!C458))</f>
        <v>Grace Ajayi</v>
      </c>
      <c r="D458" s="6" t="n">
        <f aca="false">IFERROR(DATEVALUE(Orders_Raw!D458),"")</f>
        <v>46190</v>
      </c>
      <c r="E458" s="4" t="str">
        <f aca="false">IF(D458="","No","Yes")</f>
        <v>Yes</v>
      </c>
      <c r="F458" s="4" t="n">
        <f aca="false">IFERROR(VALUE(SUBSTITUTE(SUBSTITUTE(SUBSTITUTE(Orders_Raw!G458,"$",""),"NGN",""),",","")),"")</f>
        <v>309.8</v>
      </c>
      <c r="G458" s="4" t="str">
        <f aca="false">IF(F458="","No","Yes")</f>
        <v>Yes</v>
      </c>
      <c r="H458" s="4" t="str">
        <f aca="false">Orders_Raw!F458</f>
        <v>2</v>
      </c>
      <c r="I458" s="4" t="str">
        <f aca="false">IF(H458="","No",IF(H458&lt;=0,"No","Yes"))</f>
        <v>Yes</v>
      </c>
      <c r="J458" s="4" t="str">
        <f aca="false">Orders_Raw!E458</f>
        <v>Charger</v>
      </c>
      <c r="K458" s="4" t="str">
        <f aca="false">Orders_Raw!H458</f>
        <v>2026-06-17 08:48</v>
      </c>
      <c r="L458" s="4" t="str">
        <f aca="false">IF(COUNTIF(Orders_Raw!$A$5:$A$539,A458)&gt;1,"YES","No")</f>
        <v>No</v>
      </c>
      <c r="M458" s="4" t="str">
        <f aca="false">IF(COUNTIFS($B$5:$B$539,B458,$D$5:$D$539,D458,$F$5:$F$539,F458)&gt;1,"YES","No")</f>
        <v>No</v>
      </c>
      <c r="N458" s="4" t="str">
        <f aca="false">IFERROR(INDEX(Customer_Master!$B$5:$B$64,MATCH(B458,Customer_Master!$A$5:$A$64,0)),"UNMATCHED")</f>
        <v>Grace Ajayi</v>
      </c>
      <c r="O458" s="4" t="str">
        <f aca="false">IFERROR(INDEX(Customer_Master!$C$5:$C$64,MATCH(B458,Customer_Master!$A$5:$A$64,0)),"UNMATCHED")</f>
        <v>New</v>
      </c>
      <c r="P458" s="4" t="str">
        <f aca="false">IFERROR(INDEX(Customer_Master!$D$5:$D$64,MATCH(B458,Customer_Master!$A$5:$A$64,0)),"UNMATCHED")</f>
        <v>Abuja</v>
      </c>
      <c r="Q458" s="4" t="str">
        <f aca="false">IF(N458="UNMATCHED","Unmatched","Matched")</f>
        <v>Matched</v>
      </c>
      <c r="R458" s="4" t="str">
        <f aca="false">IF(OR(E458="No",G458="No",I458="No",L458="YES",Q458="Unmatched"),"NEEDS REVIEW","OK")</f>
        <v>OK</v>
      </c>
    </row>
    <row r="459" customFormat="false" ht="15" hidden="false" customHeight="false" outlineLevel="0" collapsed="false">
      <c r="A459" s="4" t="str">
        <f aca="false">Orders_Raw!A459</f>
        <v>ORD00129</v>
      </c>
      <c r="B459" s="4" t="str">
        <f aca="false">TRIM(UPPER(Orders_Raw!B459))</f>
        <v>CUST0040</v>
      </c>
      <c r="C459" s="4" t="str">
        <f aca="false">PROPER(TRIM(Orders_Raw!C459))</f>
        <v>Bisi Ajayi</v>
      </c>
      <c r="D459" s="6" t="n">
        <f aca="false">IFERROR(DATEVALUE(Orders_Raw!D459),"")</f>
        <v>46116</v>
      </c>
      <c r="E459" s="4" t="str">
        <f aca="false">IF(D459="","No","Yes")</f>
        <v>Yes</v>
      </c>
      <c r="F459" s="4" t="n">
        <f aca="false">IFERROR(VALUE(SUBSTITUTE(SUBSTITUTE(SUBSTITUTE(Orders_Raw!G459,"$",""),"NGN",""),",","")),"")</f>
        <v>796.25</v>
      </c>
      <c r="G459" s="4" t="str">
        <f aca="false">IF(F459="","No","Yes")</f>
        <v>Yes</v>
      </c>
      <c r="H459" s="4" t="str">
        <f aca="false">Orders_Raw!F459</f>
        <v>1</v>
      </c>
      <c r="I459" s="4" t="str">
        <f aca="false">IF(H459="","No",IF(H459&lt;=0,"No","Yes"))</f>
        <v>Yes</v>
      </c>
      <c r="J459" s="4" t="str">
        <f aca="false">Orders_Raw!E459</f>
        <v>Headphones</v>
      </c>
      <c r="K459" s="4" t="str">
        <f aca="false">Orders_Raw!H459</f>
        <v>2026-04-04 15:33</v>
      </c>
      <c r="L459" s="4" t="str">
        <f aca="false">IF(COUNTIF(Orders_Raw!$A$5:$A$539,A459)&gt;1,"YES","No")</f>
        <v>No</v>
      </c>
      <c r="M459" s="4" t="str">
        <f aca="false">IF(COUNTIFS($B$5:$B$539,B459,$D$5:$D$539,D459,$F$5:$F$539,F459)&gt;1,"YES","No")</f>
        <v>No</v>
      </c>
      <c r="N459" s="4" t="str">
        <f aca="false">IFERROR(INDEX(Customer_Master!$B$5:$B$64,MATCH(B459,Customer_Master!$A$5:$A$64,0)),"UNMATCHED")</f>
        <v>Yusuf Chukwu</v>
      </c>
      <c r="O459" s="4" t="str">
        <f aca="false">IFERROR(INDEX(Customer_Master!$C$5:$C$64,MATCH(B459,Customer_Master!$A$5:$A$64,0)),"UNMATCHED")</f>
        <v>Loyal</v>
      </c>
      <c r="P459" s="4" t="str">
        <f aca="false">IFERROR(INDEX(Customer_Master!$D$5:$D$64,MATCH(B459,Customer_Master!$A$5:$A$64,0)),"UNMATCHED")</f>
        <v>Lagos</v>
      </c>
      <c r="Q459" s="4" t="str">
        <f aca="false">IF(N459="UNMATCHED","Unmatched","Matched")</f>
        <v>Matched</v>
      </c>
      <c r="R459" s="4" t="str">
        <f aca="false">IF(OR(E459="No",G459="No",I459="No",L459="YES",Q459="Unmatched"),"NEEDS REVIEW","OK")</f>
        <v>OK</v>
      </c>
    </row>
    <row r="460" customFormat="false" ht="15" hidden="false" customHeight="false" outlineLevel="0" collapsed="false">
      <c r="A460" s="4" t="str">
        <f aca="false">Orders_Raw!A460</f>
        <v>ORD00223</v>
      </c>
      <c r="B460" s="4" t="str">
        <f aca="false">TRIM(UPPER(Orders_Raw!B460))</f>
        <v>CUST0039</v>
      </c>
      <c r="C460" s="4" t="str">
        <f aca="false">PROPER(TRIM(Orders_Raw!C460))</f>
        <v>Samuel Lawal</v>
      </c>
      <c r="D460" s="6" t="n">
        <f aca="false">IFERROR(DATEVALUE(Orders_Raw!D460),"")</f>
        <v>46203</v>
      </c>
      <c r="E460" s="4" t="str">
        <f aca="false">IF(D460="","No","Yes")</f>
        <v>Yes</v>
      </c>
      <c r="F460" s="4" t="n">
        <f aca="false">IFERROR(VALUE(SUBSTITUTE(SUBSTITUTE(SUBSTITUTE(Orders_Raw!G460,"$",""),"NGN",""),",","")),"")</f>
        <v>733.99</v>
      </c>
      <c r="G460" s="4" t="str">
        <f aca="false">IF(F460="","No","Yes")</f>
        <v>Yes</v>
      </c>
      <c r="H460" s="4" t="str">
        <f aca="false">Orders_Raw!F460</f>
        <v>5</v>
      </c>
      <c r="I460" s="4" t="str">
        <f aca="false">IF(H460="","No",IF(H460&lt;=0,"No","Yes"))</f>
        <v>Yes</v>
      </c>
      <c r="J460" s="4" t="str">
        <f aca="false">Orders_Raw!E460</f>
        <v>Phone</v>
      </c>
      <c r="K460" s="4" t="str">
        <f aca="false">Orders_Raw!H460</f>
        <v>2026-06-30 10:48</v>
      </c>
      <c r="L460" s="4" t="str">
        <f aca="false">IF(COUNTIF(Orders_Raw!$A$5:$A$539,A460)&gt;1,"YES","No")</f>
        <v>No</v>
      </c>
      <c r="M460" s="4" t="str">
        <f aca="false">IF(COUNTIFS($B$5:$B$539,B460,$D$5:$D$539,D460,$F$5:$F$539,F460)&gt;1,"YES","No")</f>
        <v>No</v>
      </c>
      <c r="N460" s="4" t="str">
        <f aca="false">IFERROR(INDEX(Customer_Master!$B$5:$B$64,MATCH(B460,Customer_Master!$A$5:$A$64,0)),"UNMATCHED")</f>
        <v>Samuel Lawal</v>
      </c>
      <c r="O460" s="4" t="str">
        <f aca="false">IFERROR(INDEX(Customer_Master!$C$5:$C$64,MATCH(B460,Customer_Master!$A$5:$A$64,0)),"UNMATCHED")</f>
        <v>At Risk</v>
      </c>
      <c r="P460" s="4" t="str">
        <f aca="false">IFERROR(INDEX(Customer_Master!$D$5:$D$64,MATCH(B460,Customer_Master!$A$5:$A$64,0)),"UNMATCHED")</f>
        <v>Kano</v>
      </c>
      <c r="Q460" s="4" t="str">
        <f aca="false">IF(N460="UNMATCHED","Unmatched","Matched")</f>
        <v>Matched</v>
      </c>
      <c r="R460" s="4" t="str">
        <f aca="false">IF(OR(E460="No",G460="No",I460="No",L460="YES",Q460="Unmatched"),"NEEDS REVIEW","OK")</f>
        <v>OK</v>
      </c>
    </row>
    <row r="461" customFormat="false" ht="15" hidden="false" customHeight="false" outlineLevel="0" collapsed="false">
      <c r="A461" s="4" t="str">
        <f aca="false">Orders_Raw!A461</f>
        <v>ORD00108</v>
      </c>
      <c r="B461" s="4" t="str">
        <f aca="false">TRIM(UPPER(Orders_Raw!B461))</f>
        <v>CUST0006</v>
      </c>
      <c r="C461" s="4" t="str">
        <f aca="false">PROPER(TRIM(Orders_Raw!C461))</f>
        <v>Joy Nwosu</v>
      </c>
      <c r="D461" s="6" t="n">
        <f aca="false">IFERROR(DATEVALUE(Orders_Raw!D461),"")</f>
        <v>46112</v>
      </c>
      <c r="E461" s="4" t="str">
        <f aca="false">IF(D461="","No","Yes")</f>
        <v>Yes</v>
      </c>
      <c r="F461" s="4" t="n">
        <f aca="false">IFERROR(VALUE(SUBSTITUTE(SUBSTITUTE(SUBSTITUTE(Orders_Raw!G461,"$",""),"NGN",""),",","")),"")</f>
        <v>2419.73</v>
      </c>
      <c r="G461" s="4" t="str">
        <f aca="false">IF(F461="","No","Yes")</f>
        <v>Yes</v>
      </c>
      <c r="H461" s="4" t="str">
        <f aca="false">Orders_Raw!F461</f>
        <v>1</v>
      </c>
      <c r="I461" s="4" t="str">
        <f aca="false">IF(H461="","No",IF(H461&lt;=0,"No","Yes"))</f>
        <v>Yes</v>
      </c>
      <c r="J461" s="4" t="str">
        <f aca="false">Orders_Raw!E461</f>
        <v>Mouse</v>
      </c>
      <c r="K461" s="4" t="str">
        <f aca="false">Orders_Raw!H461</f>
        <v>2026-03-31 16:24</v>
      </c>
      <c r="L461" s="4" t="str">
        <f aca="false">IF(COUNTIF(Orders_Raw!$A$5:$A$539,A461)&gt;1,"YES","No")</f>
        <v>No</v>
      </c>
      <c r="M461" s="4" t="str">
        <f aca="false">IF(COUNTIFS($B$5:$B$539,B461,$D$5:$D$539,D461,$F$5:$F$539,F461)&gt;1,"YES","No")</f>
        <v>No</v>
      </c>
      <c r="N461" s="4" t="str">
        <f aca="false">IFERROR(INDEX(Customer_Master!$B$5:$B$64,MATCH(B461,Customer_Master!$A$5:$A$64,0)),"UNMATCHED")</f>
        <v>Joy Nwosu</v>
      </c>
      <c r="O461" s="4" t="str">
        <f aca="false">IFERROR(INDEX(Customer_Master!$C$5:$C$64,MATCH(B461,Customer_Master!$A$5:$A$64,0)),"UNMATCHED")</f>
        <v>New</v>
      </c>
      <c r="P461" s="4" t="str">
        <f aca="false">IFERROR(INDEX(Customer_Master!$D$5:$D$64,MATCH(B461,Customer_Master!$A$5:$A$64,0)),"UNMATCHED")</f>
        <v>Enugu</v>
      </c>
      <c r="Q461" s="4" t="str">
        <f aca="false">IF(N461="UNMATCHED","Unmatched","Matched")</f>
        <v>Matched</v>
      </c>
      <c r="R461" s="4" t="str">
        <f aca="false">IF(OR(E461="No",G461="No",I461="No",L461="YES",Q461="Unmatched"),"NEEDS REVIEW","OK")</f>
        <v>OK</v>
      </c>
    </row>
    <row r="462" customFormat="false" ht="15" hidden="false" customHeight="false" outlineLevel="0" collapsed="false">
      <c r="A462" s="4" t="str">
        <f aca="false">Orders_Raw!A462</f>
        <v>ORD00146</v>
      </c>
      <c r="B462" s="4" t="str">
        <f aca="false">TRIM(UPPER(Orders_Raw!B462))</f>
        <v>CUST0040</v>
      </c>
      <c r="C462" s="4" t="str">
        <f aca="false">PROPER(TRIM(Orders_Raw!C462))</f>
        <v>Yusuf Chukwu</v>
      </c>
      <c r="D462" s="6" t="n">
        <f aca="false">IFERROR(DATEVALUE(Orders_Raw!D462),"")</f>
        <v>46055</v>
      </c>
      <c r="E462" s="4" t="str">
        <f aca="false">IF(D462="","No","Yes")</f>
        <v>Yes</v>
      </c>
      <c r="F462" s="4" t="n">
        <f aca="false">IFERROR(VALUE(SUBSTITUTE(SUBSTITUTE(SUBSTITUTE(Orders_Raw!G462,"$",""),"NGN",""),",","")),"")</f>
        <v>993.85</v>
      </c>
      <c r="G462" s="4" t="str">
        <f aca="false">IF(F462="","No","Yes")</f>
        <v>Yes</v>
      </c>
      <c r="H462" s="4" t="str">
        <f aca="false">Orders_Raw!F462</f>
        <v>3</v>
      </c>
      <c r="I462" s="4" t="str">
        <f aca="false">IF(H462="","No",IF(H462&lt;=0,"No","Yes"))</f>
        <v>Yes</v>
      </c>
      <c r="J462" s="4" t="str">
        <f aca="false">Orders_Raw!E462</f>
        <v>Charger</v>
      </c>
      <c r="K462" s="4" t="str">
        <f aca="false">Orders_Raw!H462</f>
        <v>2026-02-02 17:32</v>
      </c>
      <c r="L462" s="4" t="str">
        <f aca="false">IF(COUNTIF(Orders_Raw!$A$5:$A$539,A462)&gt;1,"YES","No")</f>
        <v>No</v>
      </c>
      <c r="M462" s="4" t="str">
        <f aca="false">IF(COUNTIFS($B$5:$B$539,B462,$D$5:$D$539,D462,$F$5:$F$539,F462)&gt;1,"YES","No")</f>
        <v>No</v>
      </c>
      <c r="N462" s="4" t="str">
        <f aca="false">IFERROR(INDEX(Customer_Master!$B$5:$B$64,MATCH(B462,Customer_Master!$A$5:$A$64,0)),"UNMATCHED")</f>
        <v>Yusuf Chukwu</v>
      </c>
      <c r="O462" s="4" t="str">
        <f aca="false">IFERROR(INDEX(Customer_Master!$C$5:$C$64,MATCH(B462,Customer_Master!$A$5:$A$64,0)),"UNMATCHED")</f>
        <v>Loyal</v>
      </c>
      <c r="P462" s="4" t="str">
        <f aca="false">IFERROR(INDEX(Customer_Master!$D$5:$D$64,MATCH(B462,Customer_Master!$A$5:$A$64,0)),"UNMATCHED")</f>
        <v>Lagos</v>
      </c>
      <c r="Q462" s="4" t="str">
        <f aca="false">IF(N462="UNMATCHED","Unmatched","Matched")</f>
        <v>Matched</v>
      </c>
      <c r="R462" s="4" t="str">
        <f aca="false">IF(OR(E462="No",G462="No",I462="No",L462="YES",Q462="Unmatched"),"NEEDS REVIEW","OK")</f>
        <v>OK</v>
      </c>
    </row>
    <row r="463" customFormat="false" ht="15" hidden="false" customHeight="false" outlineLevel="0" collapsed="false">
      <c r="A463" s="4" t="str">
        <f aca="false">Orders_Raw!A463</f>
        <v>ORD00187</v>
      </c>
      <c r="B463" s="4" t="str">
        <f aca="false">TRIM(UPPER(Orders_Raw!B463))</f>
        <v>CUST0033</v>
      </c>
      <c r="C463" s="4" t="str">
        <f aca="false">PROPER(TRIM(Orders_Raw!C463))</f>
        <v>Musa Abubakar</v>
      </c>
      <c r="D463" s="6" t="n">
        <f aca="false">IFERROR(DATEVALUE(Orders_Raw!D463),"")</f>
        <v>46181</v>
      </c>
      <c r="E463" s="4" t="str">
        <f aca="false">IF(D463="","No","Yes")</f>
        <v>Yes</v>
      </c>
      <c r="F463" s="4" t="n">
        <f aca="false">IFERROR(VALUE(SUBSTITUTE(SUBSTITUTE(SUBSTITUTE(Orders_Raw!G463,"$",""),"NGN",""),",","")),"")</f>
        <v>2283.19</v>
      </c>
      <c r="G463" s="4" t="str">
        <f aca="false">IF(F463="","No","Yes")</f>
        <v>Yes</v>
      </c>
      <c r="H463" s="4" t="n">
        <f aca="false">Orders_Raw!F463</f>
        <v>0</v>
      </c>
      <c r="I463" s="4" t="str">
        <f aca="false">IF(H463="","No",IF(H463&lt;=0,"No","Yes"))</f>
        <v>No</v>
      </c>
      <c r="J463" s="4" t="str">
        <f aca="false">Orders_Raw!E463</f>
        <v>Tablet</v>
      </c>
      <c r="K463" s="4" t="str">
        <f aca="false">Orders_Raw!H463</f>
        <v>2026-06-08 14:00</v>
      </c>
      <c r="L463" s="4" t="str">
        <f aca="false">IF(COUNTIF(Orders_Raw!$A$5:$A$539,A463)&gt;1,"YES","No")</f>
        <v>No</v>
      </c>
      <c r="M463" s="4" t="str">
        <f aca="false">IF(COUNTIFS($B$5:$B$539,B463,$D$5:$D$539,D463,$F$5:$F$539,F463)&gt;1,"YES","No")</f>
        <v>No</v>
      </c>
      <c r="N463" s="4" t="str">
        <f aca="false">IFERROR(INDEX(Customer_Master!$B$5:$B$64,MATCH(B463,Customer_Master!$A$5:$A$64,0)),"UNMATCHED")</f>
        <v>Musa Abubakar</v>
      </c>
      <c r="O463" s="4" t="str">
        <f aca="false">IFERROR(INDEX(Customer_Master!$C$5:$C$64,MATCH(B463,Customer_Master!$A$5:$A$64,0)),"UNMATCHED")</f>
        <v>New</v>
      </c>
      <c r="P463" s="4" t="str">
        <f aca="false">IFERROR(INDEX(Customer_Master!$D$5:$D$64,MATCH(B463,Customer_Master!$A$5:$A$64,0)),"UNMATCHED")</f>
        <v>Kaduna</v>
      </c>
      <c r="Q463" s="4" t="str">
        <f aca="false">IF(N463="UNMATCHED","Unmatched","Matched")</f>
        <v>Matched</v>
      </c>
      <c r="R463" s="4" t="str">
        <f aca="false">IF(OR(E463="No",G463="No",I463="No",L463="YES",Q463="Unmatched"),"NEEDS REVIEW","OK")</f>
        <v>NEEDS REVIEW</v>
      </c>
    </row>
    <row r="464" customFormat="false" ht="15" hidden="false" customHeight="false" outlineLevel="0" collapsed="false">
      <c r="A464" s="4" t="str">
        <f aca="false">Orders_Raw!A464</f>
        <v>ORD00331</v>
      </c>
      <c r="B464" s="4" t="str">
        <f aca="false">TRIM(UPPER(Orders_Raw!B464))</f>
        <v>CUST0017</v>
      </c>
      <c r="C464" s="4" t="str">
        <f aca="false">PROPER(TRIM(Orders_Raw!C464))</f>
        <v>Ibrahim Ajayi</v>
      </c>
      <c r="D464" s="6" t="n">
        <f aca="false">IFERROR(DATEVALUE(Orders_Raw!D464),"")</f>
        <v>46199</v>
      </c>
      <c r="E464" s="4" t="str">
        <f aca="false">IF(D464="","No","Yes")</f>
        <v>Yes</v>
      </c>
      <c r="F464" s="4" t="n">
        <f aca="false">IFERROR(VALUE(SUBSTITUTE(SUBSTITUTE(SUBSTITUTE(Orders_Raw!G464,"$",""),"NGN",""),",","")),"")</f>
        <v>521.94</v>
      </c>
      <c r="G464" s="4" t="str">
        <f aca="false">IF(F464="","No","Yes")</f>
        <v>Yes</v>
      </c>
      <c r="H464" s="4" t="str">
        <f aca="false">Orders_Raw!F464</f>
        <v>1</v>
      </c>
      <c r="I464" s="4" t="str">
        <f aca="false">IF(H464="","No",IF(H464&lt;=0,"No","Yes"))</f>
        <v>Yes</v>
      </c>
      <c r="J464" s="4" t="str">
        <f aca="false">Orders_Raw!E464</f>
        <v>Speaker</v>
      </c>
      <c r="K464" s="4" t="str">
        <f aca="false">Orders_Raw!H464</f>
        <v>2026-06-26 18:47</v>
      </c>
      <c r="L464" s="4" t="str">
        <f aca="false">IF(COUNTIF(Orders_Raw!$A$5:$A$539,A464)&gt;1,"YES","No")</f>
        <v>No</v>
      </c>
      <c r="M464" s="4" t="str">
        <f aca="false">IF(COUNTIFS($B$5:$B$539,B464,$D$5:$D$539,D464,$F$5:$F$539,F464)&gt;1,"YES","No")</f>
        <v>No</v>
      </c>
      <c r="N464" s="4" t="str">
        <f aca="false">IFERROR(INDEX(Customer_Master!$B$5:$B$64,MATCH(B464,Customer_Master!$A$5:$A$64,0)),"UNMATCHED")</f>
        <v>Ibrahim Ajayi</v>
      </c>
      <c r="O464" s="4" t="str">
        <f aca="false">IFERROR(INDEX(Customer_Master!$C$5:$C$64,MATCH(B464,Customer_Master!$A$5:$A$64,0)),"UNMATCHED")</f>
        <v>Champions</v>
      </c>
      <c r="P464" s="4" t="str">
        <f aca="false">IFERROR(INDEX(Customer_Master!$D$5:$D$64,MATCH(B464,Customer_Master!$A$5:$A$64,0)),"UNMATCHED")</f>
        <v>Enugu</v>
      </c>
      <c r="Q464" s="4" t="str">
        <f aca="false">IF(N464="UNMATCHED","Unmatched","Matched")</f>
        <v>Matched</v>
      </c>
      <c r="R464" s="4" t="str">
        <f aca="false">IF(OR(E464="No",G464="No",I464="No",L464="YES",Q464="Unmatched"),"NEEDS REVIEW","OK")</f>
        <v>OK</v>
      </c>
    </row>
    <row r="465" customFormat="false" ht="15" hidden="false" customHeight="false" outlineLevel="0" collapsed="false">
      <c r="A465" s="4" t="str">
        <f aca="false">Orders_Raw!A465</f>
        <v>ORD00475</v>
      </c>
      <c r="B465" s="4" t="str">
        <f aca="false">TRIM(UPPER(Orders_Raw!B465))</f>
        <v>CUSTO060</v>
      </c>
      <c r="C465" s="4" t="str">
        <f aca="false">PROPER(TRIM(Orders_Raw!C465))</f>
        <v>James Umeh</v>
      </c>
      <c r="D465" s="6" t="str">
        <f aca="false">IFERROR(DATEVALUE(Orders_Raw!D465),"")</f>
        <v/>
      </c>
      <c r="E465" s="4" t="str">
        <f aca="false">IF(D465="","No","Yes")</f>
        <v>No</v>
      </c>
      <c r="F465" s="4" t="n">
        <f aca="false">IFERROR(VALUE(SUBSTITUTE(SUBSTITUTE(SUBSTITUTE(Orders_Raw!G465,"$",""),"NGN",""),",","")),"")</f>
        <v>271.21</v>
      </c>
      <c r="G465" s="4" t="str">
        <f aca="false">IF(F465="","No","Yes")</f>
        <v>Yes</v>
      </c>
      <c r="H465" s="4" t="str">
        <f aca="false">Orders_Raw!F465</f>
        <v>1</v>
      </c>
      <c r="I465" s="4" t="str">
        <f aca="false">IF(H465="","No",IF(H465&lt;=0,"No","Yes"))</f>
        <v>Yes</v>
      </c>
      <c r="J465" s="4" t="str">
        <f aca="false">Orders_Raw!E465</f>
        <v>Charger</v>
      </c>
      <c r="K465" s="4" t="str">
        <f aca="false">Orders_Raw!H465</f>
        <v>2026-04-30 13:12</v>
      </c>
      <c r="L465" s="4" t="str">
        <f aca="false">IF(COUNTIF(Orders_Raw!$A$5:$A$539,A465)&gt;1,"YES","No")</f>
        <v>No</v>
      </c>
      <c r="M465" s="4" t="str">
        <f aca="false">IF(COUNTIFS($B$5:$B$539,B465,$D$5:$D$539,D465,$F$5:$F$539,F465)&gt;1,"YES","No")</f>
        <v>No</v>
      </c>
      <c r="N465" s="4" t="str">
        <f aca="false">IFERROR(INDEX(Customer_Master!$B$5:$B$64,MATCH(B465,Customer_Master!$A$5:$A$64,0)),"UNMATCHED")</f>
        <v>UNMATCHED</v>
      </c>
      <c r="O465" s="4" t="str">
        <f aca="false">IFERROR(INDEX(Customer_Master!$C$5:$C$64,MATCH(B465,Customer_Master!$A$5:$A$64,0)),"UNMATCHED")</f>
        <v>UNMATCHED</v>
      </c>
      <c r="P465" s="4" t="str">
        <f aca="false">IFERROR(INDEX(Customer_Master!$D$5:$D$64,MATCH(B465,Customer_Master!$A$5:$A$64,0)),"UNMATCHED")</f>
        <v>UNMATCHED</v>
      </c>
      <c r="Q465" s="4" t="str">
        <f aca="false">IF(N465="UNMATCHED","Unmatched","Matched")</f>
        <v>Unmatched</v>
      </c>
      <c r="R465" s="4" t="str">
        <f aca="false">IF(OR(E465="No",G465="No",I465="No",L465="YES",Q465="Unmatched"),"NEEDS REVIEW","OK")</f>
        <v>NEEDS REVIEW</v>
      </c>
    </row>
    <row r="466" customFormat="false" ht="15" hidden="false" customHeight="false" outlineLevel="0" collapsed="false">
      <c r="A466" s="4" t="str">
        <f aca="false">Orders_Raw!A466</f>
        <v>ORD00023</v>
      </c>
      <c r="B466" s="4" t="str">
        <f aca="false">TRIM(UPPER(Orders_Raw!B466))</f>
        <v>CUST0015</v>
      </c>
      <c r="C466" s="4" t="str">
        <f aca="false">PROPER(TRIM(Orders_Raw!C466))</f>
        <v>Ahmed Nwosu</v>
      </c>
      <c r="D466" s="6" t="n">
        <f aca="false">IFERROR(DATEVALUE(Orders_Raw!D466),"")</f>
        <v>46204</v>
      </c>
      <c r="E466" s="4" t="str">
        <f aca="false">IF(D466="","No","Yes")</f>
        <v>Yes</v>
      </c>
      <c r="F466" s="4" t="n">
        <f aca="false">IFERROR(VALUE(SUBSTITUTE(SUBSTITUTE(SUBSTITUTE(Orders_Raw!G466,"$",""),"NGN",""),",","")),"")</f>
        <v>623.43</v>
      </c>
      <c r="G466" s="4" t="str">
        <f aca="false">IF(F466="","No","Yes")</f>
        <v>Yes</v>
      </c>
      <c r="H466" s="4" t="str">
        <f aca="false">Orders_Raw!F466</f>
        <v>3</v>
      </c>
      <c r="I466" s="4" t="str">
        <f aca="false">IF(H466="","No",IF(H466&lt;=0,"No","Yes"))</f>
        <v>Yes</v>
      </c>
      <c r="J466" s="4" t="str">
        <f aca="false">Orders_Raw!E466</f>
        <v>Monitor</v>
      </c>
      <c r="K466" s="4" t="str">
        <f aca="false">Orders_Raw!H466</f>
        <v>2026-01-07 18:36</v>
      </c>
      <c r="L466" s="4" t="str">
        <f aca="false">IF(COUNTIF(Orders_Raw!$A$5:$A$539,A466)&gt;1,"YES","No")</f>
        <v>No</v>
      </c>
      <c r="M466" s="4" t="str">
        <f aca="false">IF(COUNTIFS($B$5:$B$539,B466,$D$5:$D$539,D466,$F$5:$F$539,F466)&gt;1,"YES","No")</f>
        <v>No</v>
      </c>
      <c r="N466" s="4" t="str">
        <f aca="false">IFERROR(INDEX(Customer_Master!$B$5:$B$64,MATCH(B466,Customer_Master!$A$5:$A$64,0)),"UNMATCHED")</f>
        <v>Ahmed Nwosu</v>
      </c>
      <c r="O466" s="4" t="str">
        <f aca="false">IFERROR(INDEX(Customer_Master!$C$5:$C$64,MATCH(B466,Customer_Master!$A$5:$A$64,0)),"UNMATCHED")</f>
        <v>Champions</v>
      </c>
      <c r="P466" s="4" t="str">
        <f aca="false">IFERROR(INDEX(Customer_Master!$D$5:$D$64,MATCH(B466,Customer_Master!$A$5:$A$64,0)),"UNMATCHED")</f>
        <v>Lagos</v>
      </c>
      <c r="Q466" s="4" t="str">
        <f aca="false">IF(N466="UNMATCHED","Unmatched","Matched")</f>
        <v>Matched</v>
      </c>
      <c r="R466" s="4" t="str">
        <f aca="false">IF(OR(E466="No",G466="No",I466="No",L466="YES",Q466="Unmatched"),"NEEDS REVIEW","OK")</f>
        <v>OK</v>
      </c>
    </row>
    <row r="467" customFormat="false" ht="15" hidden="false" customHeight="false" outlineLevel="0" collapsed="false">
      <c r="A467" s="4" t="str">
        <f aca="false">Orders_Raw!A467</f>
        <v>ORD00344</v>
      </c>
      <c r="B467" s="4" t="str">
        <f aca="false">TRIM(UPPER(Orders_Raw!B467))</f>
        <v>CUST0037</v>
      </c>
      <c r="C467" s="4" t="str">
        <f aca="false">PROPER(TRIM(Orders_Raw!C467))</f>
        <v>Blessing Obi</v>
      </c>
      <c r="D467" s="6" t="str">
        <f aca="false">IFERROR(DATEVALUE(Orders_Raw!D467),"")</f>
        <v/>
      </c>
      <c r="E467" s="4" t="str">
        <f aca="false">IF(D467="","No","Yes")</f>
        <v>No</v>
      </c>
      <c r="F467" s="4" t="n">
        <f aca="false">IFERROR(VALUE(SUBSTITUTE(SUBSTITUTE(SUBSTITUTE(Orders_Raw!G467,"$",""),"NGN",""),",","")),"")</f>
        <v>1136.05</v>
      </c>
      <c r="G467" s="4" t="str">
        <f aca="false">IF(F467="","No","Yes")</f>
        <v>Yes</v>
      </c>
      <c r="H467" s="4" t="str">
        <f aca="false">Orders_Raw!F467</f>
        <v>2</v>
      </c>
      <c r="I467" s="4" t="str">
        <f aca="false">IF(H467="","No",IF(H467&lt;=0,"No","Yes"))</f>
        <v>Yes</v>
      </c>
      <c r="J467" s="4" t="str">
        <f aca="false">Orders_Raw!E467</f>
        <v>Phone</v>
      </c>
      <c r="K467" s="4" t="str">
        <f aca="false">Orders_Raw!H467</f>
        <v>2026-04-15 16:00</v>
      </c>
      <c r="L467" s="4" t="str">
        <f aca="false">IF(COUNTIF(Orders_Raw!$A$5:$A$539,A467)&gt;1,"YES","No")</f>
        <v>YES</v>
      </c>
      <c r="M467" s="4" t="str">
        <f aca="false">IF(COUNTIFS($B$5:$B$539,B467,$D$5:$D$539,D467,$F$5:$F$539,F467)&gt;1,"YES","No")</f>
        <v>YES</v>
      </c>
      <c r="N467" s="4" t="str">
        <f aca="false">IFERROR(INDEX(Customer_Master!$B$5:$B$64,MATCH(B467,Customer_Master!$A$5:$A$64,0)),"UNMATCHED")</f>
        <v>Blessing Obi</v>
      </c>
      <c r="O467" s="4" t="str">
        <f aca="false">IFERROR(INDEX(Customer_Master!$C$5:$C$64,MATCH(B467,Customer_Master!$A$5:$A$64,0)),"UNMATCHED")</f>
        <v>Lost / Low-Value</v>
      </c>
      <c r="P467" s="4" t="str">
        <f aca="false">IFERROR(INDEX(Customer_Master!$D$5:$D$64,MATCH(B467,Customer_Master!$A$5:$A$64,0)),"UNMATCHED")</f>
        <v>Lagos</v>
      </c>
      <c r="Q467" s="4" t="str">
        <f aca="false">IF(N467="UNMATCHED","Unmatched","Matched")</f>
        <v>Matched</v>
      </c>
      <c r="R467" s="4" t="str">
        <f aca="false">IF(OR(E467="No",G467="No",I467="No",L467="YES",Q467="Unmatched"),"NEEDS REVIEW","OK")</f>
        <v>NEEDS REVIEW</v>
      </c>
    </row>
    <row r="468" customFormat="false" ht="15" hidden="false" customHeight="false" outlineLevel="0" collapsed="false">
      <c r="A468" s="4" t="str">
        <f aca="false">Orders_Raw!A468</f>
        <v>ORD00082</v>
      </c>
      <c r="B468" s="4" t="str">
        <f aca="false">TRIM(UPPER(Orders_Raw!B468))</f>
        <v>CUST0053</v>
      </c>
      <c r="C468" s="4" t="str">
        <f aca="false">PROPER(TRIM(Orders_Raw!C468))</f>
        <v>Comfort Adeyemi</v>
      </c>
      <c r="D468" s="6" t="n">
        <f aca="false">IFERROR(DATEVALUE(Orders_Raw!D468),"")</f>
        <v>46221</v>
      </c>
      <c r="E468" s="4" t="str">
        <f aca="false">IF(D468="","No","Yes")</f>
        <v>Yes</v>
      </c>
      <c r="F468" s="4" t="n">
        <f aca="false">IFERROR(VALUE(SUBSTITUTE(SUBSTITUTE(SUBSTITUTE(Orders_Raw!G468,"$",""),"NGN",""),",","")),"")</f>
        <v>1974.78</v>
      </c>
      <c r="G468" s="4" t="str">
        <f aca="false">IF(F468="","No","Yes")</f>
        <v>Yes</v>
      </c>
      <c r="H468" s="4" t="str">
        <f aca="false">Orders_Raw!F468</f>
        <v>1</v>
      </c>
      <c r="I468" s="4" t="str">
        <f aca="false">IF(H468="","No",IF(H468&lt;=0,"No","Yes"))</f>
        <v>Yes</v>
      </c>
      <c r="J468" s="4" t="str">
        <f aca="false">Orders_Raw!E468</f>
        <v>Headphones</v>
      </c>
      <c r="K468" s="4" t="str">
        <f aca="false">Orders_Raw!H468</f>
        <v>2026-07-18 16:16</v>
      </c>
      <c r="L468" s="4" t="str">
        <f aca="false">IF(COUNTIF(Orders_Raw!$A$5:$A$539,A468)&gt;1,"YES","No")</f>
        <v>No</v>
      </c>
      <c r="M468" s="4" t="str">
        <f aca="false">IF(COUNTIFS($B$5:$B$539,B468,$D$5:$D$539,D468,$F$5:$F$539,F468)&gt;1,"YES","No")</f>
        <v>No</v>
      </c>
      <c r="N468" s="4" t="str">
        <f aca="false">IFERROR(INDEX(Customer_Master!$B$5:$B$64,MATCH(B468,Customer_Master!$A$5:$A$64,0)),"UNMATCHED")</f>
        <v>Comfort Adeyemi</v>
      </c>
      <c r="O468" s="4" t="str">
        <f aca="false">IFERROR(INDEX(Customer_Master!$C$5:$C$64,MATCH(B468,Customer_Master!$A$5:$A$64,0)),"UNMATCHED")</f>
        <v>At Risk</v>
      </c>
      <c r="P468" s="4" t="str">
        <f aca="false">IFERROR(INDEX(Customer_Master!$D$5:$D$64,MATCH(B468,Customer_Master!$A$5:$A$64,0)),"UNMATCHED")</f>
        <v>Abuja</v>
      </c>
      <c r="Q468" s="4" t="str">
        <f aca="false">IF(N468="UNMATCHED","Unmatched","Matched")</f>
        <v>Matched</v>
      </c>
      <c r="R468" s="4" t="str">
        <f aca="false">IF(OR(E468="No",G468="No",I468="No",L468="YES",Q468="Unmatched"),"NEEDS REVIEW","OK")</f>
        <v>OK</v>
      </c>
    </row>
    <row r="469" customFormat="false" ht="15" hidden="false" customHeight="false" outlineLevel="0" collapsed="false">
      <c r="A469" s="4" t="str">
        <f aca="false">Orders_Raw!A469</f>
        <v>ORD00091</v>
      </c>
      <c r="B469" s="4" t="str">
        <f aca="false">TRIM(UPPER(Orders_Raw!B469))</f>
        <v>CUST0010</v>
      </c>
      <c r="C469" s="4" t="str">
        <f aca="false">PROPER(TRIM(Orders_Raw!C469))</f>
        <v>Esther Umeh</v>
      </c>
      <c r="D469" s="6" t="n">
        <f aca="false">IFERROR(DATEVALUE(Orders_Raw!D469),"")</f>
        <v>46050</v>
      </c>
      <c r="E469" s="4" t="str">
        <f aca="false">IF(D469="","No","Yes")</f>
        <v>Yes</v>
      </c>
      <c r="F469" s="4" t="n">
        <f aca="false">IFERROR(VALUE(SUBSTITUTE(SUBSTITUTE(SUBSTITUTE(Orders_Raw!G469,"$",""),"NGN",""),",","")),"")</f>
        <v>2115.75</v>
      </c>
      <c r="G469" s="4" t="str">
        <f aca="false">IF(F469="","No","Yes")</f>
        <v>Yes</v>
      </c>
      <c r="H469" s="4" t="str">
        <f aca="false">Orders_Raw!F469</f>
        <v>1</v>
      </c>
      <c r="I469" s="4" t="str">
        <f aca="false">IF(H469="","No",IF(H469&lt;=0,"No","Yes"))</f>
        <v>Yes</v>
      </c>
      <c r="J469" s="4" t="str">
        <f aca="false">Orders_Raw!E469</f>
        <v>Monitor</v>
      </c>
      <c r="K469" s="4" t="str">
        <f aca="false">Orders_Raw!H469</f>
        <v>2026-01-28 16:49</v>
      </c>
      <c r="L469" s="4" t="str">
        <f aca="false">IF(COUNTIF(Orders_Raw!$A$5:$A$539,A469)&gt;1,"YES","No")</f>
        <v>No</v>
      </c>
      <c r="M469" s="4" t="str">
        <f aca="false">IF(COUNTIFS($B$5:$B$539,B469,$D$5:$D$539,D469,$F$5:$F$539,F469)&gt;1,"YES","No")</f>
        <v>No</v>
      </c>
      <c r="N469" s="4" t="str">
        <f aca="false">IFERROR(INDEX(Customer_Master!$B$5:$B$64,MATCH(B469,Customer_Master!$A$5:$A$64,0)),"UNMATCHED")</f>
        <v>Esther Umeh</v>
      </c>
      <c r="O469" s="4" t="str">
        <f aca="false">IFERROR(INDEX(Customer_Master!$C$5:$C$64,MATCH(B469,Customer_Master!$A$5:$A$64,0)),"UNMATCHED")</f>
        <v>Champions</v>
      </c>
      <c r="P469" s="4" t="str">
        <f aca="false">IFERROR(INDEX(Customer_Master!$D$5:$D$64,MATCH(B469,Customer_Master!$A$5:$A$64,0)),"UNMATCHED")</f>
        <v>Abuja</v>
      </c>
      <c r="Q469" s="4" t="str">
        <f aca="false">IF(N469="UNMATCHED","Unmatched","Matched")</f>
        <v>Matched</v>
      </c>
      <c r="R469" s="4" t="str">
        <f aca="false">IF(OR(E469="No",G469="No",I469="No",L469="YES",Q469="Unmatched"),"NEEDS REVIEW","OK")</f>
        <v>OK</v>
      </c>
    </row>
    <row r="470" customFormat="false" ht="15" hidden="false" customHeight="false" outlineLevel="0" collapsed="false">
      <c r="A470" s="4" t="str">
        <f aca="false">Orders_Raw!A470</f>
        <v>ORD00255</v>
      </c>
      <c r="B470" s="4" t="str">
        <f aca="false">TRIM(UPPER(Orders_Raw!B470))</f>
        <v>CUST0055</v>
      </c>
      <c r="C470" s="4" t="str">
        <f aca="false">PROPER(TRIM(Orders_Raw!C470))</f>
        <v>Amaka Adamu</v>
      </c>
      <c r="D470" s="6" t="n">
        <f aca="false">IFERROR(DATEVALUE(Orders_Raw!D470),"")</f>
        <v>46145</v>
      </c>
      <c r="E470" s="4" t="str">
        <f aca="false">IF(D470="","No","Yes")</f>
        <v>Yes</v>
      </c>
      <c r="F470" s="4" t="n">
        <f aca="false">IFERROR(VALUE(SUBSTITUTE(SUBSTITUTE(SUBSTITUTE(Orders_Raw!G470,"$",""),"NGN",""),",","")),"")</f>
        <v>1163.18</v>
      </c>
      <c r="G470" s="4" t="str">
        <f aca="false">IF(F470="","No","Yes")</f>
        <v>Yes</v>
      </c>
      <c r="H470" s="4" t="n">
        <f aca="false">Orders_Raw!F470</f>
        <v>0</v>
      </c>
      <c r="I470" s="4" t="str">
        <f aca="false">IF(H470="","No",IF(H470&lt;=0,"No","Yes"))</f>
        <v>No</v>
      </c>
      <c r="J470" s="4" t="str">
        <f aca="false">Orders_Raw!E470</f>
        <v>Charger</v>
      </c>
      <c r="K470" s="4" t="str">
        <f aca="false">Orders_Raw!H470</f>
        <v>2026-03-05 10:12</v>
      </c>
      <c r="L470" s="4" t="str">
        <f aca="false">IF(COUNTIF(Orders_Raw!$A$5:$A$539,A470)&gt;1,"YES","No")</f>
        <v>No</v>
      </c>
      <c r="M470" s="4" t="str">
        <f aca="false">IF(COUNTIFS($B$5:$B$539,B470,$D$5:$D$539,D470,$F$5:$F$539,F470)&gt;1,"YES","No")</f>
        <v>No</v>
      </c>
      <c r="N470" s="4" t="str">
        <f aca="false">IFERROR(INDEX(Customer_Master!$B$5:$B$64,MATCH(B470,Customer_Master!$A$5:$A$64,0)),"UNMATCHED")</f>
        <v>Amaka Adamu</v>
      </c>
      <c r="O470" s="4" t="str">
        <f aca="false">IFERROR(INDEX(Customer_Master!$C$5:$C$64,MATCH(B470,Customer_Master!$A$5:$A$64,0)),"UNMATCHED")</f>
        <v>Loyal</v>
      </c>
      <c r="P470" s="4" t="str">
        <f aca="false">IFERROR(INDEX(Customer_Master!$D$5:$D$64,MATCH(B470,Customer_Master!$A$5:$A$64,0)),"UNMATCHED")</f>
        <v>Kaduna</v>
      </c>
      <c r="Q470" s="4" t="str">
        <f aca="false">IF(N470="UNMATCHED","Unmatched","Matched")</f>
        <v>Matched</v>
      </c>
      <c r="R470" s="4" t="str">
        <f aca="false">IF(OR(E470="No",G470="No",I470="No",L470="YES",Q470="Unmatched"),"NEEDS REVIEW","OK")</f>
        <v>NEEDS REVIEW</v>
      </c>
    </row>
    <row r="471" customFormat="false" ht="15" hidden="false" customHeight="false" outlineLevel="0" collapsed="false">
      <c r="A471" s="4" t="str">
        <f aca="false">Orders_Raw!A471</f>
        <v>ORD00243</v>
      </c>
      <c r="B471" s="4" t="str">
        <f aca="false">TRIM(UPPER(Orders_Raw!B471))</f>
        <v>CUST0055</v>
      </c>
      <c r="C471" s="4" t="str">
        <f aca="false">PROPER(TRIM(Orders_Raw!C471))</f>
        <v>Amaka Adamu</v>
      </c>
      <c r="D471" s="6" t="n">
        <f aca="false">IFERROR(DATEVALUE(Orders_Raw!D471),"")</f>
        <v>46063</v>
      </c>
      <c r="E471" s="4" t="str">
        <f aca="false">IF(D471="","No","Yes")</f>
        <v>Yes</v>
      </c>
      <c r="F471" s="4" t="n">
        <f aca="false">IFERROR(VALUE(SUBSTITUTE(SUBSTITUTE(SUBSTITUTE(Orders_Raw!G471,"$",""),"NGN",""),",","")),"")</f>
        <v>1936.72</v>
      </c>
      <c r="G471" s="4" t="str">
        <f aca="false">IF(F471="","No","Yes")</f>
        <v>Yes</v>
      </c>
      <c r="H471" s="4" t="str">
        <f aca="false">Orders_Raw!F471</f>
        <v>4</v>
      </c>
      <c r="I471" s="4" t="str">
        <f aca="false">IF(H471="","No",IF(H471&lt;=0,"No","Yes"))</f>
        <v>Yes</v>
      </c>
      <c r="J471" s="4" t="str">
        <f aca="false">Orders_Raw!E471</f>
        <v>Tablet</v>
      </c>
      <c r="K471" s="4" t="str">
        <f aca="false">Orders_Raw!H471</f>
        <v>2026-02-10 08:02</v>
      </c>
      <c r="L471" s="4" t="str">
        <f aca="false">IF(COUNTIF(Orders_Raw!$A$5:$A$539,A471)&gt;1,"YES","No")</f>
        <v>No</v>
      </c>
      <c r="M471" s="4" t="str">
        <f aca="false">IF(COUNTIFS($B$5:$B$539,B471,$D$5:$D$539,D471,$F$5:$F$539,F471)&gt;1,"YES","No")</f>
        <v>No</v>
      </c>
      <c r="N471" s="4" t="str">
        <f aca="false">IFERROR(INDEX(Customer_Master!$B$5:$B$64,MATCH(B471,Customer_Master!$A$5:$A$64,0)),"UNMATCHED")</f>
        <v>Amaka Adamu</v>
      </c>
      <c r="O471" s="4" t="str">
        <f aca="false">IFERROR(INDEX(Customer_Master!$C$5:$C$64,MATCH(B471,Customer_Master!$A$5:$A$64,0)),"UNMATCHED")</f>
        <v>Loyal</v>
      </c>
      <c r="P471" s="4" t="str">
        <f aca="false">IFERROR(INDEX(Customer_Master!$D$5:$D$64,MATCH(B471,Customer_Master!$A$5:$A$64,0)),"UNMATCHED")</f>
        <v>Kaduna</v>
      </c>
      <c r="Q471" s="4" t="str">
        <f aca="false">IF(N471="UNMATCHED","Unmatched","Matched")</f>
        <v>Matched</v>
      </c>
      <c r="R471" s="4" t="str">
        <f aca="false">IF(OR(E471="No",G471="No",I471="No",L471="YES",Q471="Unmatched"),"NEEDS REVIEW","OK")</f>
        <v>OK</v>
      </c>
    </row>
    <row r="472" customFormat="false" ht="15" hidden="false" customHeight="false" outlineLevel="0" collapsed="false">
      <c r="A472" s="4" t="str">
        <f aca="false">Orders_Raw!A472</f>
        <v>ORD00467</v>
      </c>
      <c r="B472" s="4" t="str">
        <f aca="false">TRIM(UPPER(Orders_Raw!B472))</f>
        <v>CUST0040</v>
      </c>
      <c r="C472" s="4" t="str">
        <f aca="false">PROPER(TRIM(Orders_Raw!C472))</f>
        <v>Yusuf Chukwu</v>
      </c>
      <c r="D472" s="6" t="n">
        <f aca="false">IFERROR(DATEVALUE(Orders_Raw!D472),"")</f>
        <v>46034</v>
      </c>
      <c r="E472" s="4" t="str">
        <f aca="false">IF(D472="","No","Yes")</f>
        <v>Yes</v>
      </c>
      <c r="F472" s="4" t="n">
        <f aca="false">IFERROR(VALUE(SUBSTITUTE(SUBSTITUTE(SUBSTITUTE(Orders_Raw!G472,"$",""),"NGN",""),",","")),"")</f>
        <v>883.88</v>
      </c>
      <c r="G472" s="4" t="str">
        <f aca="false">IF(F472="","No","Yes")</f>
        <v>Yes</v>
      </c>
      <c r="H472" s="4" t="str">
        <f aca="false">Orders_Raw!F472</f>
        <v>1</v>
      </c>
      <c r="I472" s="4" t="str">
        <f aca="false">IF(H472="","No",IF(H472&lt;=0,"No","Yes"))</f>
        <v>Yes</v>
      </c>
      <c r="J472" s="4" t="str">
        <f aca="false">Orders_Raw!E472</f>
        <v>Mouse</v>
      </c>
      <c r="K472" s="4" t="str">
        <f aca="false">Orders_Raw!H472</f>
        <v>2026-01-12 09:19</v>
      </c>
      <c r="L472" s="4" t="str">
        <f aca="false">IF(COUNTIF(Orders_Raw!$A$5:$A$539,A472)&gt;1,"YES","No")</f>
        <v>No</v>
      </c>
      <c r="M472" s="4" t="str">
        <f aca="false">IF(COUNTIFS($B$5:$B$539,B472,$D$5:$D$539,D472,$F$5:$F$539,F472)&gt;1,"YES","No")</f>
        <v>No</v>
      </c>
      <c r="N472" s="4" t="str">
        <f aca="false">IFERROR(INDEX(Customer_Master!$B$5:$B$64,MATCH(B472,Customer_Master!$A$5:$A$64,0)),"UNMATCHED")</f>
        <v>Yusuf Chukwu</v>
      </c>
      <c r="O472" s="4" t="str">
        <f aca="false">IFERROR(INDEX(Customer_Master!$C$5:$C$64,MATCH(B472,Customer_Master!$A$5:$A$64,0)),"UNMATCHED")</f>
        <v>Loyal</v>
      </c>
      <c r="P472" s="4" t="str">
        <f aca="false">IFERROR(INDEX(Customer_Master!$D$5:$D$64,MATCH(B472,Customer_Master!$A$5:$A$64,0)),"UNMATCHED")</f>
        <v>Lagos</v>
      </c>
      <c r="Q472" s="4" t="str">
        <f aca="false">IF(N472="UNMATCHED","Unmatched","Matched")</f>
        <v>Matched</v>
      </c>
      <c r="R472" s="4" t="str">
        <f aca="false">IF(OR(E472="No",G472="No",I472="No",L472="YES",Q472="Unmatched"),"NEEDS REVIEW","OK")</f>
        <v>OK</v>
      </c>
    </row>
    <row r="473" customFormat="false" ht="15" hidden="false" customHeight="false" outlineLevel="0" collapsed="false">
      <c r="A473" s="4" t="str">
        <f aca="false">Orders_Raw!A473</f>
        <v>ORD00433</v>
      </c>
      <c r="B473" s="4" t="str">
        <f aca="false">TRIM(UPPER(Orders_Raw!B473))</f>
        <v>CUST0026</v>
      </c>
      <c r="C473" s="4" t="str">
        <f aca="false">PROPER(TRIM(Orders_Raw!C473))</f>
        <v>Amaka Yakubu</v>
      </c>
      <c r="D473" s="6" t="n">
        <f aca="false">IFERROR(DATEVALUE(Orders_Raw!D473),"")</f>
        <v>46270</v>
      </c>
      <c r="E473" s="4" t="str">
        <f aca="false">IF(D473="","No","Yes")</f>
        <v>Yes</v>
      </c>
      <c r="F473" s="4" t="n">
        <f aca="false">IFERROR(VALUE(SUBSTITUTE(SUBSTITUTE(SUBSTITUTE(Orders_Raw!G473,"$",""),"NGN",""),",","")),"")</f>
        <v>1937.96</v>
      </c>
      <c r="G473" s="4" t="str">
        <f aca="false">IF(F473="","No","Yes")</f>
        <v>Yes</v>
      </c>
      <c r="H473" s="4" t="str">
        <f aca="false">Orders_Raw!F473</f>
        <v>5</v>
      </c>
      <c r="I473" s="4" t="str">
        <f aca="false">IF(H473="","No",IF(H473&lt;=0,"No","Yes"))</f>
        <v>Yes</v>
      </c>
      <c r="J473" s="4" t="str">
        <f aca="false">Orders_Raw!E473</f>
        <v>Printer</v>
      </c>
      <c r="K473" s="4" t="str">
        <f aca="false">Orders_Raw!H473</f>
        <v>2026-05-09 14:41</v>
      </c>
      <c r="L473" s="4" t="str">
        <f aca="false">IF(COUNTIF(Orders_Raw!$A$5:$A$539,A473)&gt;1,"YES","No")</f>
        <v>No</v>
      </c>
      <c r="M473" s="4" t="str">
        <f aca="false">IF(COUNTIFS($B$5:$B$539,B473,$D$5:$D$539,D473,$F$5:$F$539,F473)&gt;1,"YES","No")</f>
        <v>No</v>
      </c>
      <c r="N473" s="4" t="str">
        <f aca="false">IFERROR(INDEX(Customer_Master!$B$5:$B$64,MATCH(B473,Customer_Master!$A$5:$A$64,0)),"UNMATCHED")</f>
        <v>Amaka Yakubu</v>
      </c>
      <c r="O473" s="4" t="str">
        <f aca="false">IFERROR(INDEX(Customer_Master!$C$5:$C$64,MATCH(B473,Customer_Master!$A$5:$A$64,0)),"UNMATCHED")</f>
        <v>Lost / Low-Value</v>
      </c>
      <c r="P473" s="4" t="str">
        <f aca="false">IFERROR(INDEX(Customer_Master!$D$5:$D$64,MATCH(B473,Customer_Master!$A$5:$A$64,0)),"UNMATCHED")</f>
        <v>Kaduna</v>
      </c>
      <c r="Q473" s="4" t="str">
        <f aca="false">IF(N473="UNMATCHED","Unmatched","Matched")</f>
        <v>Matched</v>
      </c>
      <c r="R473" s="4" t="str">
        <f aca="false">IF(OR(E473="No",G473="No",I473="No",L473="YES",Q473="Unmatched"),"NEEDS REVIEW","OK")</f>
        <v>OK</v>
      </c>
    </row>
    <row r="474" customFormat="false" ht="15" hidden="false" customHeight="false" outlineLevel="0" collapsed="false">
      <c r="A474" s="4" t="str">
        <f aca="false">Orders_Raw!A474</f>
        <v>ORD00351</v>
      </c>
      <c r="B474" s="4" t="str">
        <f aca="false">TRIM(UPPER(Orders_Raw!B474))</f>
        <v>CUST0029</v>
      </c>
      <c r="C474" s="4" t="str">
        <f aca="false">PROPER(TRIM(Orders_Raw!C474))</f>
        <v>James Uche</v>
      </c>
      <c r="D474" s="6" t="n">
        <f aca="false">IFERROR(DATEVALUE(Orders_Raw!D474),"")</f>
        <v>46200</v>
      </c>
      <c r="E474" s="4" t="str">
        <f aca="false">IF(D474="","No","Yes")</f>
        <v>Yes</v>
      </c>
      <c r="F474" s="4" t="n">
        <f aca="false">IFERROR(VALUE(SUBSTITUTE(SUBSTITUTE(SUBSTITUTE(Orders_Raw!G474,"$",""),"NGN",""),",","")),"")</f>
        <v>393.7</v>
      </c>
      <c r="G474" s="4" t="str">
        <f aca="false">IF(F474="","No","Yes")</f>
        <v>Yes</v>
      </c>
      <c r="H474" s="4" t="str">
        <f aca="false">Orders_Raw!F474</f>
        <v>2</v>
      </c>
      <c r="I474" s="4" t="str">
        <f aca="false">IF(H474="","No",IF(H474&lt;=0,"No","Yes"))</f>
        <v>Yes</v>
      </c>
      <c r="J474" s="4" t="str">
        <f aca="false">Orders_Raw!E474</f>
        <v>Headphones</v>
      </c>
      <c r="K474" s="4" t="str">
        <f aca="false">Orders_Raw!H474</f>
        <v>2026-06-27 08:20</v>
      </c>
      <c r="L474" s="4" t="str">
        <f aca="false">IF(COUNTIF(Orders_Raw!$A$5:$A$539,A474)&gt;1,"YES","No")</f>
        <v>No</v>
      </c>
      <c r="M474" s="4" t="str">
        <f aca="false">IF(COUNTIFS($B$5:$B$539,B474,$D$5:$D$539,D474,$F$5:$F$539,F474)&gt;1,"YES","No")</f>
        <v>No</v>
      </c>
      <c r="N474" s="4" t="str">
        <f aca="false">IFERROR(INDEX(Customer_Master!$B$5:$B$64,MATCH(B474,Customer_Master!$A$5:$A$64,0)),"UNMATCHED")</f>
        <v>James Uche</v>
      </c>
      <c r="O474" s="4" t="str">
        <f aca="false">IFERROR(INDEX(Customer_Master!$C$5:$C$64,MATCH(B474,Customer_Master!$A$5:$A$64,0)),"UNMATCHED")</f>
        <v>Lost / Low-Value</v>
      </c>
      <c r="P474" s="4" t="str">
        <f aca="false">IFERROR(INDEX(Customer_Master!$D$5:$D$64,MATCH(B474,Customer_Master!$A$5:$A$64,0)),"UNMATCHED")</f>
        <v>Enugu</v>
      </c>
      <c r="Q474" s="4" t="str">
        <f aca="false">IF(N474="UNMATCHED","Unmatched","Matched")</f>
        <v>Matched</v>
      </c>
      <c r="R474" s="4" t="str">
        <f aca="false">IF(OR(E474="No",G474="No",I474="No",L474="YES",Q474="Unmatched"),"NEEDS REVIEW","OK")</f>
        <v>OK</v>
      </c>
    </row>
    <row r="475" customFormat="false" ht="15" hidden="false" customHeight="false" outlineLevel="0" collapsed="false">
      <c r="A475" s="4" t="str">
        <f aca="false">Orders_Raw!A475</f>
        <v>ORD00077</v>
      </c>
      <c r="B475" s="4" t="str">
        <f aca="false">TRIM(UPPER(Orders_Raw!B475))</f>
        <v>CUST0040</v>
      </c>
      <c r="C475" s="4" t="str">
        <f aca="false">PROPER(TRIM(Orders_Raw!C475))</f>
        <v>Yusuf Chukwu</v>
      </c>
      <c r="D475" s="6" t="n">
        <f aca="false">IFERROR(DATEVALUE(Orders_Raw!D475),"")</f>
        <v>46362</v>
      </c>
      <c r="E475" s="4" t="str">
        <f aca="false">IF(D475="","No","Yes")</f>
        <v>Yes</v>
      </c>
      <c r="F475" s="4" t="n">
        <f aca="false">IFERROR(VALUE(SUBSTITUTE(SUBSTITUTE(SUBSTITUTE(Orders_Raw!G475,"$",""),"NGN",""),",","")),"")</f>
        <v>2274.83</v>
      </c>
      <c r="G475" s="4" t="str">
        <f aca="false">IF(F475="","No","Yes")</f>
        <v>Yes</v>
      </c>
      <c r="H475" s="4" t="str">
        <f aca="false">Orders_Raw!F475</f>
        <v>4</v>
      </c>
      <c r="I475" s="4" t="str">
        <f aca="false">IF(H475="","No",IF(H475&lt;=0,"No","Yes"))</f>
        <v>Yes</v>
      </c>
      <c r="J475" s="4" t="str">
        <f aca="false">Orders_Raw!E475</f>
        <v>Laptop</v>
      </c>
      <c r="K475" s="4" t="str">
        <f aca="false">Orders_Raw!H475</f>
        <v>2026-06-12 12:31</v>
      </c>
      <c r="L475" s="4" t="str">
        <f aca="false">IF(COUNTIF(Orders_Raw!$A$5:$A$539,A475)&gt;1,"YES","No")</f>
        <v>No</v>
      </c>
      <c r="M475" s="4" t="str">
        <f aca="false">IF(COUNTIFS($B$5:$B$539,B475,$D$5:$D$539,D475,$F$5:$F$539,F475)&gt;1,"YES","No")</f>
        <v>No</v>
      </c>
      <c r="N475" s="4" t="str">
        <f aca="false">IFERROR(INDEX(Customer_Master!$B$5:$B$64,MATCH(B475,Customer_Master!$A$5:$A$64,0)),"UNMATCHED")</f>
        <v>Yusuf Chukwu</v>
      </c>
      <c r="O475" s="4" t="str">
        <f aca="false">IFERROR(INDEX(Customer_Master!$C$5:$C$64,MATCH(B475,Customer_Master!$A$5:$A$64,0)),"UNMATCHED")</f>
        <v>Loyal</v>
      </c>
      <c r="P475" s="4" t="str">
        <f aca="false">IFERROR(INDEX(Customer_Master!$D$5:$D$64,MATCH(B475,Customer_Master!$A$5:$A$64,0)),"UNMATCHED")</f>
        <v>Lagos</v>
      </c>
      <c r="Q475" s="4" t="str">
        <f aca="false">IF(N475="UNMATCHED","Unmatched","Matched")</f>
        <v>Matched</v>
      </c>
      <c r="R475" s="4" t="str">
        <f aca="false">IF(OR(E475="No",G475="No",I475="No",L475="YES",Q475="Unmatched"),"NEEDS REVIEW","OK")</f>
        <v>OK</v>
      </c>
    </row>
    <row r="476" customFormat="false" ht="15" hidden="false" customHeight="false" outlineLevel="0" collapsed="false">
      <c r="A476" s="4" t="str">
        <f aca="false">Orders_Raw!A476</f>
        <v>ORD00408</v>
      </c>
      <c r="B476" s="4" t="str">
        <f aca="false">TRIM(UPPER(Orders_Raw!B476))</f>
        <v>CUST0045</v>
      </c>
      <c r="C476" s="4" t="str">
        <f aca="false">PROPER(TRIM(Orders_Raw!C476))</f>
        <v>Yusuf Yakubu</v>
      </c>
      <c r="D476" s="6" t="n">
        <f aca="false">IFERROR(DATEVALUE(Orders_Raw!D476),"")</f>
        <v>46043</v>
      </c>
      <c r="E476" s="4" t="str">
        <f aca="false">IF(D476="","No","Yes")</f>
        <v>Yes</v>
      </c>
      <c r="F476" s="4" t="n">
        <f aca="false">IFERROR(VALUE(SUBSTITUTE(SUBSTITUTE(SUBSTITUTE(Orders_Raw!G476,"$",""),"NGN",""),",","")),"")</f>
        <v>154.26</v>
      </c>
      <c r="G476" s="4" t="str">
        <f aca="false">IF(F476="","No","Yes")</f>
        <v>Yes</v>
      </c>
      <c r="H476" s="4" t="str">
        <f aca="false">Orders_Raw!F476</f>
        <v>1</v>
      </c>
      <c r="I476" s="4" t="str">
        <f aca="false">IF(H476="","No",IF(H476&lt;=0,"No","Yes"))</f>
        <v>Yes</v>
      </c>
      <c r="J476" s="4" t="str">
        <f aca="false">Orders_Raw!E476</f>
        <v>Mouse</v>
      </c>
      <c r="K476" s="4" t="str">
        <f aca="false">Orders_Raw!H476</f>
        <v>2026-01-21 14:53</v>
      </c>
      <c r="L476" s="4" t="str">
        <f aca="false">IF(COUNTIF(Orders_Raw!$A$5:$A$539,A476)&gt;1,"YES","No")</f>
        <v>No</v>
      </c>
      <c r="M476" s="4" t="str">
        <f aca="false">IF(COUNTIFS($B$5:$B$539,B476,$D$5:$D$539,D476,$F$5:$F$539,F476)&gt;1,"YES","No")</f>
        <v>No</v>
      </c>
      <c r="N476" s="4" t="str">
        <f aca="false">IFERROR(INDEX(Customer_Master!$B$5:$B$64,MATCH(B476,Customer_Master!$A$5:$A$64,0)),"UNMATCHED")</f>
        <v>Yusuf Yakubu</v>
      </c>
      <c r="O476" s="4" t="str">
        <f aca="false">IFERROR(INDEX(Customer_Master!$C$5:$C$64,MATCH(B476,Customer_Master!$A$5:$A$64,0)),"UNMATCHED")</f>
        <v>New</v>
      </c>
      <c r="P476" s="4" t="str">
        <f aca="false">IFERROR(INDEX(Customer_Master!$D$5:$D$64,MATCH(B476,Customer_Master!$A$5:$A$64,0)),"UNMATCHED")</f>
        <v>Port Harcourt</v>
      </c>
      <c r="Q476" s="4" t="str">
        <f aca="false">IF(N476="UNMATCHED","Unmatched","Matched")</f>
        <v>Matched</v>
      </c>
      <c r="R476" s="4" t="str">
        <f aca="false">IF(OR(E476="No",G476="No",I476="No",L476="YES",Q476="Unmatched"),"NEEDS REVIEW","OK")</f>
        <v>OK</v>
      </c>
    </row>
    <row r="477" customFormat="false" ht="15" hidden="false" customHeight="false" outlineLevel="0" collapsed="false">
      <c r="A477" s="4" t="str">
        <f aca="false">Orders_Raw!A477</f>
        <v>ORD00058</v>
      </c>
      <c r="B477" s="4" t="str">
        <f aca="false">TRIM(UPPER(Orders_Raw!B477))</f>
        <v>CUST0002</v>
      </c>
      <c r="C477" s="4" t="str">
        <f aca="false">PROPER(TRIM(Orders_Raw!C477))</f>
        <v>Tunde Ajayi</v>
      </c>
      <c r="D477" s="6" t="n">
        <f aca="false">IFERROR(DATEVALUE(Orders_Raw!D477),"")</f>
        <v>46084</v>
      </c>
      <c r="E477" s="4" t="str">
        <f aca="false">IF(D477="","No","Yes")</f>
        <v>Yes</v>
      </c>
      <c r="F477" s="4" t="n">
        <f aca="false">IFERROR(VALUE(SUBSTITUTE(SUBSTITUTE(SUBSTITUTE(Orders_Raw!G477,"$",""),"NGN",""),",","")),"")</f>
        <v>787.21</v>
      </c>
      <c r="G477" s="4" t="str">
        <f aca="false">IF(F477="","No","Yes")</f>
        <v>Yes</v>
      </c>
      <c r="H477" s="4" t="str">
        <f aca="false">Orders_Raw!F477</f>
        <v>3</v>
      </c>
      <c r="I477" s="4" t="str">
        <f aca="false">IF(H477="","No",IF(H477&lt;=0,"No","Yes"))</f>
        <v>Yes</v>
      </c>
      <c r="J477" s="4" t="str">
        <f aca="false">Orders_Raw!E477</f>
        <v>Phone</v>
      </c>
      <c r="K477" s="4" t="str">
        <f aca="false">Orders_Raw!H477</f>
        <v>2026-03-03 15:07</v>
      </c>
      <c r="L477" s="4" t="str">
        <f aca="false">IF(COUNTIF(Orders_Raw!$A$5:$A$539,A477)&gt;1,"YES","No")</f>
        <v>No</v>
      </c>
      <c r="M477" s="4" t="str">
        <f aca="false">IF(COUNTIFS($B$5:$B$539,B477,$D$5:$D$539,D477,$F$5:$F$539,F477)&gt;1,"YES","No")</f>
        <v>No</v>
      </c>
      <c r="N477" s="4" t="str">
        <f aca="false">IFERROR(INDEX(Customer_Master!$B$5:$B$64,MATCH(B477,Customer_Master!$A$5:$A$64,0)),"UNMATCHED")</f>
        <v>Tunde Ajayi</v>
      </c>
      <c r="O477" s="4" t="str">
        <f aca="false">IFERROR(INDEX(Customer_Master!$C$5:$C$64,MATCH(B477,Customer_Master!$A$5:$A$64,0)),"UNMATCHED")</f>
        <v>Loyal</v>
      </c>
      <c r="P477" s="4" t="str">
        <f aca="false">IFERROR(INDEX(Customer_Master!$D$5:$D$64,MATCH(B477,Customer_Master!$A$5:$A$64,0)),"UNMATCHED")</f>
        <v>Abuja</v>
      </c>
      <c r="Q477" s="4" t="str">
        <f aca="false">IF(N477="UNMATCHED","Unmatched","Matched")</f>
        <v>Matched</v>
      </c>
      <c r="R477" s="4" t="str">
        <f aca="false">IF(OR(E477="No",G477="No",I477="No",L477="YES",Q477="Unmatched"),"NEEDS REVIEW","OK")</f>
        <v>OK</v>
      </c>
    </row>
    <row r="478" customFormat="false" ht="15" hidden="false" customHeight="false" outlineLevel="0" collapsed="false">
      <c r="A478" s="4" t="str">
        <f aca="false">Orders_Raw!A478</f>
        <v>ORD00100</v>
      </c>
      <c r="B478" s="4" t="str">
        <f aca="false">TRIM(UPPER(Orders_Raw!B478))</f>
        <v>CUST0034</v>
      </c>
      <c r="C478" s="4" t="str">
        <f aca="false">PROPER(TRIM(Orders_Raw!C478))</f>
        <v>Samuel Sani</v>
      </c>
      <c r="D478" s="6" t="n">
        <f aca="false">IFERROR(DATEVALUE(Orders_Raw!D478),"")</f>
        <v>46079</v>
      </c>
      <c r="E478" s="4" t="str">
        <f aca="false">IF(D478="","No","Yes")</f>
        <v>Yes</v>
      </c>
      <c r="F478" s="4" t="n">
        <f aca="false">IFERROR(VALUE(SUBSTITUTE(SUBSTITUTE(SUBSTITUTE(Orders_Raw!G478,"$",""),"NGN",""),",","")),"")</f>
        <v>1951.11</v>
      </c>
      <c r="G478" s="4" t="str">
        <f aca="false">IF(F478="","No","Yes")</f>
        <v>Yes</v>
      </c>
      <c r="H478" s="4" t="str">
        <f aca="false">Orders_Raw!F478</f>
        <v>3</v>
      </c>
      <c r="I478" s="4" t="str">
        <f aca="false">IF(H478="","No",IF(H478&lt;=0,"No","Yes"))</f>
        <v>Yes</v>
      </c>
      <c r="J478" s="4" t="str">
        <f aca="false">Orders_Raw!E478</f>
        <v>Charger</v>
      </c>
      <c r="K478" s="4" t="str">
        <f aca="false">Orders_Raw!H478</f>
        <v>2026-02-26 13:22</v>
      </c>
      <c r="L478" s="4" t="str">
        <f aca="false">IF(COUNTIF(Orders_Raw!$A$5:$A$539,A478)&gt;1,"YES","No")</f>
        <v>No</v>
      </c>
      <c r="M478" s="4" t="str">
        <f aca="false">IF(COUNTIFS($B$5:$B$539,B478,$D$5:$D$539,D478,$F$5:$F$539,F478)&gt;1,"YES","No")</f>
        <v>No</v>
      </c>
      <c r="N478" s="4" t="str">
        <f aca="false">IFERROR(INDEX(Customer_Master!$B$5:$B$64,MATCH(B478,Customer_Master!$A$5:$A$64,0)),"UNMATCHED")</f>
        <v>Samuel Sani</v>
      </c>
      <c r="O478" s="4" t="str">
        <f aca="false">IFERROR(INDEX(Customer_Master!$C$5:$C$64,MATCH(B478,Customer_Master!$A$5:$A$64,0)),"UNMATCHED")</f>
        <v>New</v>
      </c>
      <c r="P478" s="4" t="str">
        <f aca="false">IFERROR(INDEX(Customer_Master!$D$5:$D$64,MATCH(B478,Customer_Master!$A$5:$A$64,0)),"UNMATCHED")</f>
        <v>Lagos</v>
      </c>
      <c r="Q478" s="4" t="str">
        <f aca="false">IF(N478="UNMATCHED","Unmatched","Matched")</f>
        <v>Matched</v>
      </c>
      <c r="R478" s="4" t="str">
        <f aca="false">IF(OR(E478="No",G478="No",I478="No",L478="YES",Q478="Unmatched"),"NEEDS REVIEW","OK")</f>
        <v>OK</v>
      </c>
    </row>
    <row r="479" customFormat="false" ht="15" hidden="false" customHeight="false" outlineLevel="0" collapsed="false">
      <c r="A479" s="4" t="str">
        <f aca="false">Orders_Raw!A479</f>
        <v>ORD00028</v>
      </c>
      <c r="B479" s="4" t="str">
        <f aca="false">TRIM(UPPER(Orders_Raw!B479))</f>
        <v>CUST0021</v>
      </c>
      <c r="C479" s="4" t="str">
        <f aca="false">PROPER(TRIM(Orders_Raw!C479))</f>
        <v>Joy Ajayi</v>
      </c>
      <c r="D479" s="6" t="n">
        <f aca="false">IFERROR(DATEVALUE(Orders_Raw!D479),"")</f>
        <v>46058</v>
      </c>
      <c r="E479" s="4" t="str">
        <f aca="false">IF(D479="","No","Yes")</f>
        <v>Yes</v>
      </c>
      <c r="F479" s="4" t="n">
        <f aca="false">IFERROR(VALUE(SUBSTITUTE(SUBSTITUTE(SUBSTITUTE(Orders_Raw!G479,"$",""),"NGN",""),",","")),"")</f>
        <v>589.68</v>
      </c>
      <c r="G479" s="4" t="str">
        <f aca="false">IF(F479="","No","Yes")</f>
        <v>Yes</v>
      </c>
      <c r="H479" s="4" t="str">
        <f aca="false">Orders_Raw!F479</f>
        <v>4</v>
      </c>
      <c r="I479" s="4" t="str">
        <f aca="false">IF(H479="","No",IF(H479&lt;=0,"No","Yes"))</f>
        <v>Yes</v>
      </c>
      <c r="J479" s="4" t="str">
        <f aca="false">Orders_Raw!E479</f>
        <v>Keyboard</v>
      </c>
      <c r="K479" s="4" t="str">
        <f aca="false">Orders_Raw!H479</f>
        <v>2026-02-05 16:29</v>
      </c>
      <c r="L479" s="4" t="str">
        <f aca="false">IF(COUNTIF(Orders_Raw!$A$5:$A$539,A479)&gt;1,"YES","No")</f>
        <v>No</v>
      </c>
      <c r="M479" s="4" t="str">
        <f aca="false">IF(COUNTIFS($B$5:$B$539,B479,$D$5:$D$539,D479,$F$5:$F$539,F479)&gt;1,"YES","No")</f>
        <v>No</v>
      </c>
      <c r="N479" s="4" t="str">
        <f aca="false">IFERROR(INDEX(Customer_Master!$B$5:$B$64,MATCH(B479,Customer_Master!$A$5:$A$64,0)),"UNMATCHED")</f>
        <v>Joy Ajayi</v>
      </c>
      <c r="O479" s="4" t="str">
        <f aca="false">IFERROR(INDEX(Customer_Master!$C$5:$C$64,MATCH(B479,Customer_Master!$A$5:$A$64,0)),"UNMATCHED")</f>
        <v>Loyal</v>
      </c>
      <c r="P479" s="4" t="str">
        <f aca="false">IFERROR(INDEX(Customer_Master!$D$5:$D$64,MATCH(B479,Customer_Master!$A$5:$A$64,0)),"UNMATCHED")</f>
        <v>Kaduna</v>
      </c>
      <c r="Q479" s="4" t="str">
        <f aca="false">IF(N479="UNMATCHED","Unmatched","Matched")</f>
        <v>Matched</v>
      </c>
      <c r="R479" s="4" t="str">
        <f aca="false">IF(OR(E479="No",G479="No",I479="No",L479="YES",Q479="Unmatched"),"NEEDS REVIEW","OK")</f>
        <v>OK</v>
      </c>
    </row>
    <row r="480" customFormat="false" ht="15" hidden="false" customHeight="false" outlineLevel="0" collapsed="false">
      <c r="A480" s="4" t="str">
        <f aca="false">Orders_Raw!A480</f>
        <v>ORD00142</v>
      </c>
      <c r="B480" s="4" t="str">
        <f aca="false">TRIM(UPPER(Orders_Raw!B480))</f>
        <v>CUST0040</v>
      </c>
      <c r="C480" s="4" t="str">
        <f aca="false">PROPER(TRIM(Orders_Raw!C480))</f>
        <v>Yusuf Chukwu</v>
      </c>
      <c r="D480" s="6" t="n">
        <f aca="false">IFERROR(DATEVALUE(Orders_Raw!D480),"")</f>
        <v>46106</v>
      </c>
      <c r="E480" s="4" t="str">
        <f aca="false">IF(D480="","No","Yes")</f>
        <v>Yes</v>
      </c>
      <c r="F480" s="4" t="n">
        <f aca="false">IFERROR(VALUE(SUBSTITUTE(SUBSTITUTE(SUBSTITUTE(Orders_Raw!G480,"$",""),"NGN",""),",","")),"")</f>
        <v>1807</v>
      </c>
      <c r="G480" s="4" t="str">
        <f aca="false">IF(F480="","No","Yes")</f>
        <v>Yes</v>
      </c>
      <c r="H480" s="4" t="str">
        <f aca="false">Orders_Raw!F480</f>
        <v>5</v>
      </c>
      <c r="I480" s="4" t="str">
        <f aca="false">IF(H480="","No",IF(H480&lt;=0,"No","Yes"))</f>
        <v>Yes</v>
      </c>
      <c r="J480" s="4" t="str">
        <f aca="false">Orders_Raw!E480</f>
        <v>Printer</v>
      </c>
      <c r="K480" s="4" t="str">
        <f aca="false">Orders_Raw!H480</f>
        <v>2026-03-25 15:56</v>
      </c>
      <c r="L480" s="4" t="str">
        <f aca="false">IF(COUNTIF(Orders_Raw!$A$5:$A$539,A480)&gt;1,"YES","No")</f>
        <v>No</v>
      </c>
      <c r="M480" s="4" t="str">
        <f aca="false">IF(COUNTIFS($B$5:$B$539,B480,$D$5:$D$539,D480,$F$5:$F$539,F480)&gt;1,"YES","No")</f>
        <v>No</v>
      </c>
      <c r="N480" s="4" t="str">
        <f aca="false">IFERROR(INDEX(Customer_Master!$B$5:$B$64,MATCH(B480,Customer_Master!$A$5:$A$64,0)),"UNMATCHED")</f>
        <v>Yusuf Chukwu</v>
      </c>
      <c r="O480" s="4" t="str">
        <f aca="false">IFERROR(INDEX(Customer_Master!$C$5:$C$64,MATCH(B480,Customer_Master!$A$5:$A$64,0)),"UNMATCHED")</f>
        <v>Loyal</v>
      </c>
      <c r="P480" s="4" t="str">
        <f aca="false">IFERROR(INDEX(Customer_Master!$D$5:$D$64,MATCH(B480,Customer_Master!$A$5:$A$64,0)),"UNMATCHED")</f>
        <v>Lagos</v>
      </c>
      <c r="Q480" s="4" t="str">
        <f aca="false">IF(N480="UNMATCHED","Unmatched","Matched")</f>
        <v>Matched</v>
      </c>
      <c r="R480" s="4" t="str">
        <f aca="false">IF(OR(E480="No",G480="No",I480="No",L480="YES",Q480="Unmatched"),"NEEDS REVIEW","OK")</f>
        <v>OK</v>
      </c>
    </row>
    <row r="481" customFormat="false" ht="15" hidden="false" customHeight="false" outlineLevel="0" collapsed="false">
      <c r="A481" s="4" t="str">
        <f aca="false">Orders_Raw!A481</f>
        <v>ORD00107</v>
      </c>
      <c r="B481" s="4" t="str">
        <f aca="false">TRIM(UPPER(Orders_Raw!B481))</f>
        <v>CUST0050</v>
      </c>
      <c r="C481" s="4" t="str">
        <f aca="false">PROPER(TRIM(Orders_Raw!C481))</f>
        <v>Ngozi Duru</v>
      </c>
      <c r="D481" s="6" t="n">
        <f aca="false">IFERROR(DATEVALUE(Orders_Raw!D481),"")</f>
        <v>46036</v>
      </c>
      <c r="E481" s="4" t="str">
        <f aca="false">IF(D481="","No","Yes")</f>
        <v>Yes</v>
      </c>
      <c r="F481" s="4" t="n">
        <f aca="false">IFERROR(VALUE(SUBSTITUTE(SUBSTITUTE(SUBSTITUTE(Orders_Raw!G481,"$",""),"NGN",""),",","")),"")</f>
        <v>178.79</v>
      </c>
      <c r="G481" s="4" t="str">
        <f aca="false">IF(F481="","No","Yes")</f>
        <v>Yes</v>
      </c>
      <c r="H481" s="4" t="str">
        <f aca="false">Orders_Raw!F481</f>
        <v>3</v>
      </c>
      <c r="I481" s="4" t="str">
        <f aca="false">IF(H481="","No",IF(H481&lt;=0,"No","Yes"))</f>
        <v>Yes</v>
      </c>
      <c r="J481" s="4" t="str">
        <f aca="false">Orders_Raw!E481</f>
        <v>Speaker</v>
      </c>
      <c r="K481" s="4" t="str">
        <f aca="false">Orders_Raw!H481</f>
        <v>2026-01-14 10:21</v>
      </c>
      <c r="L481" s="4" t="str">
        <f aca="false">IF(COUNTIF(Orders_Raw!$A$5:$A$539,A481)&gt;1,"YES","No")</f>
        <v>No</v>
      </c>
      <c r="M481" s="4" t="str">
        <f aca="false">IF(COUNTIFS($B$5:$B$539,B481,$D$5:$D$539,D481,$F$5:$F$539,F481)&gt;1,"YES","No")</f>
        <v>No</v>
      </c>
      <c r="N481" s="4" t="str">
        <f aca="false">IFERROR(INDEX(Customer_Master!$B$5:$B$64,MATCH(B481,Customer_Master!$A$5:$A$64,0)),"UNMATCHED")</f>
        <v>Ngozi Duru</v>
      </c>
      <c r="O481" s="4" t="str">
        <f aca="false">IFERROR(INDEX(Customer_Master!$C$5:$C$64,MATCH(B481,Customer_Master!$A$5:$A$64,0)),"UNMATCHED")</f>
        <v>New</v>
      </c>
      <c r="P481" s="4" t="str">
        <f aca="false">IFERROR(INDEX(Customer_Master!$D$5:$D$64,MATCH(B481,Customer_Master!$A$5:$A$64,0)),"UNMATCHED")</f>
        <v>Kano</v>
      </c>
      <c r="Q481" s="4" t="str">
        <f aca="false">IF(N481="UNMATCHED","Unmatched","Matched")</f>
        <v>Matched</v>
      </c>
      <c r="R481" s="4" t="str">
        <f aca="false">IF(OR(E481="No",G481="No",I481="No",L481="YES",Q481="Unmatched"),"NEEDS REVIEW","OK")</f>
        <v>OK</v>
      </c>
    </row>
    <row r="482" customFormat="false" ht="15" hidden="false" customHeight="false" outlineLevel="0" collapsed="false">
      <c r="A482" s="4" t="str">
        <f aca="false">Orders_Raw!A482</f>
        <v>ORD00338</v>
      </c>
      <c r="B482" s="4" t="str">
        <f aca="false">TRIM(UPPER(Orders_Raw!B482))</f>
        <v>CUST0027</v>
      </c>
      <c r="C482" s="4" t="str">
        <f aca="false">PROPER(TRIM(Orders_Raw!C482))</f>
        <v>Amaka Yakubu</v>
      </c>
      <c r="D482" s="6" t="n">
        <f aca="false">IFERROR(DATEVALUE(Orders_Raw!D482),"")</f>
        <v>46192</v>
      </c>
      <c r="E482" s="4" t="str">
        <f aca="false">IF(D482="","No","Yes")</f>
        <v>Yes</v>
      </c>
      <c r="F482" s="4" t="n">
        <f aca="false">IFERROR(VALUE(SUBSTITUTE(SUBSTITUTE(SUBSTITUTE(Orders_Raw!G482,"$",""),"NGN",""),",","")),"")</f>
        <v>837.7</v>
      </c>
      <c r="G482" s="4" t="str">
        <f aca="false">IF(F482="","No","Yes")</f>
        <v>Yes</v>
      </c>
      <c r="H482" s="4" t="str">
        <f aca="false">Orders_Raw!F482</f>
        <v>1</v>
      </c>
      <c r="I482" s="4" t="str">
        <f aca="false">IF(H482="","No",IF(H482&lt;=0,"No","Yes"))</f>
        <v>Yes</v>
      </c>
      <c r="J482" s="4" t="str">
        <f aca="false">Orders_Raw!E482</f>
        <v>Printer</v>
      </c>
      <c r="K482" s="4" t="str">
        <f aca="false">Orders_Raw!H482</f>
        <v>2026-06-19 16:52</v>
      </c>
      <c r="L482" s="4" t="str">
        <f aca="false">IF(COUNTIF(Orders_Raw!$A$5:$A$539,A482)&gt;1,"YES","No")</f>
        <v>No</v>
      </c>
      <c r="M482" s="4" t="str">
        <f aca="false">IF(COUNTIFS($B$5:$B$539,B482,$D$5:$D$539,D482,$F$5:$F$539,F482)&gt;1,"YES","No")</f>
        <v>No</v>
      </c>
      <c r="N482" s="4" t="str">
        <f aca="false">IFERROR(INDEX(Customer_Master!$B$5:$B$64,MATCH(B482,Customer_Master!$A$5:$A$64,0)),"UNMATCHED")</f>
        <v>Yusuf Sani</v>
      </c>
      <c r="O482" s="4" t="str">
        <f aca="false">IFERROR(INDEX(Customer_Master!$C$5:$C$64,MATCH(B482,Customer_Master!$A$5:$A$64,0)),"UNMATCHED")</f>
        <v>Loyal</v>
      </c>
      <c r="P482" s="4" t="str">
        <f aca="false">IFERROR(INDEX(Customer_Master!$D$5:$D$64,MATCH(B482,Customer_Master!$A$5:$A$64,0)),"UNMATCHED")</f>
        <v>Kano</v>
      </c>
      <c r="Q482" s="4" t="str">
        <f aca="false">IF(N482="UNMATCHED","Unmatched","Matched")</f>
        <v>Matched</v>
      </c>
      <c r="R482" s="4" t="str">
        <f aca="false">IF(OR(E482="No",G482="No",I482="No",L482="YES",Q482="Unmatched"),"NEEDS REVIEW","OK")</f>
        <v>OK</v>
      </c>
    </row>
    <row r="483" customFormat="false" ht="15" hidden="false" customHeight="false" outlineLevel="0" collapsed="false">
      <c r="A483" s="4" t="str">
        <f aca="false">Orders_Raw!A483</f>
        <v>ORD00321</v>
      </c>
      <c r="B483" s="4" t="str">
        <f aca="false">TRIM(UPPER(Orders_Raw!B483))</f>
        <v>CUST0004</v>
      </c>
      <c r="C483" s="4" t="str">
        <f aca="false">PROPER(TRIM(Orders_Raw!C483))</f>
        <v>Grace Duru</v>
      </c>
      <c r="D483" s="6" t="n">
        <f aca="false">IFERROR(DATEVALUE(Orders_Raw!D483),"")</f>
        <v>46107</v>
      </c>
      <c r="E483" s="4" t="str">
        <f aca="false">IF(D483="","No","Yes")</f>
        <v>Yes</v>
      </c>
      <c r="F483" s="4" t="n">
        <f aca="false">IFERROR(VALUE(SUBSTITUTE(SUBSTITUTE(SUBSTITUTE(Orders_Raw!G483,"$",""),"NGN",""),",","")),"")</f>
        <v>1922.03</v>
      </c>
      <c r="G483" s="4" t="str">
        <f aca="false">IF(F483="","No","Yes")</f>
        <v>Yes</v>
      </c>
      <c r="H483" s="4" t="str">
        <f aca="false">Orders_Raw!F483</f>
        <v>2</v>
      </c>
      <c r="I483" s="4" t="str">
        <f aca="false">IF(H483="","No",IF(H483&lt;=0,"No","Yes"))</f>
        <v>Yes</v>
      </c>
      <c r="J483" s="4" t="str">
        <f aca="false">Orders_Raw!E483</f>
        <v>Printer</v>
      </c>
      <c r="K483" s="4" t="str">
        <f aca="false">Orders_Raw!H483</f>
        <v>2026-03-26 09:06</v>
      </c>
      <c r="L483" s="4" t="str">
        <f aca="false">IF(COUNTIF(Orders_Raw!$A$5:$A$539,A483)&gt;1,"YES","No")</f>
        <v>No</v>
      </c>
      <c r="M483" s="4" t="str">
        <f aca="false">IF(COUNTIFS($B$5:$B$539,B483,$D$5:$D$539,D483,$F$5:$F$539,F483)&gt;1,"YES","No")</f>
        <v>No</v>
      </c>
      <c r="N483" s="4" t="str">
        <f aca="false">IFERROR(INDEX(Customer_Master!$B$5:$B$64,MATCH(B483,Customer_Master!$A$5:$A$64,0)),"UNMATCHED")</f>
        <v>Grace Duru</v>
      </c>
      <c r="O483" s="4" t="str">
        <f aca="false">IFERROR(INDEX(Customer_Master!$C$5:$C$64,MATCH(B483,Customer_Master!$A$5:$A$64,0)),"UNMATCHED")</f>
        <v>Champions</v>
      </c>
      <c r="P483" s="4" t="str">
        <f aca="false">IFERROR(INDEX(Customer_Master!$D$5:$D$64,MATCH(B483,Customer_Master!$A$5:$A$64,0)),"UNMATCHED")</f>
        <v>Kano</v>
      </c>
      <c r="Q483" s="4" t="str">
        <f aca="false">IF(N483="UNMATCHED","Unmatched","Matched")</f>
        <v>Matched</v>
      </c>
      <c r="R483" s="4" t="str">
        <f aca="false">IF(OR(E483="No",G483="No",I483="No",L483="YES",Q483="Unmatched"),"NEEDS REVIEW","OK")</f>
        <v>OK</v>
      </c>
    </row>
    <row r="484" customFormat="false" ht="15" hidden="false" customHeight="false" outlineLevel="0" collapsed="false">
      <c r="A484" s="4" t="str">
        <f aca="false">Orders_Raw!A484</f>
        <v>ORD00395</v>
      </c>
      <c r="B484" s="4" t="str">
        <f aca="false">TRIM(UPPER(Orders_Raw!B484))</f>
        <v>CUST0040</v>
      </c>
      <c r="C484" s="4" t="str">
        <f aca="false">PROPER(TRIM(Orders_Raw!C484))</f>
        <v>Yusuf Chukwu</v>
      </c>
      <c r="D484" s="6" t="n">
        <f aca="false">IFERROR(DATEVALUE(Orders_Raw!D484),"")</f>
        <v>46043</v>
      </c>
      <c r="E484" s="4" t="str">
        <f aca="false">IF(D484="","No","Yes")</f>
        <v>Yes</v>
      </c>
      <c r="F484" s="4" t="n">
        <f aca="false">IFERROR(VALUE(SUBSTITUTE(SUBSTITUTE(SUBSTITUTE(Orders_Raw!G484,"$",""),"NGN",""),",","")),"")</f>
        <v>868.91</v>
      </c>
      <c r="G484" s="4" t="str">
        <f aca="false">IF(F484="","No","Yes")</f>
        <v>Yes</v>
      </c>
      <c r="H484" s="4" t="str">
        <f aca="false">Orders_Raw!F484</f>
        <v>2</v>
      </c>
      <c r="I484" s="4" t="str">
        <f aca="false">IF(H484="","No",IF(H484&lt;=0,"No","Yes"))</f>
        <v>Yes</v>
      </c>
      <c r="J484" s="4" t="str">
        <f aca="false">Orders_Raw!E484</f>
        <v>Speaker</v>
      </c>
      <c r="K484" s="4" t="str">
        <f aca="false">Orders_Raw!H484</f>
        <v>2026-01-21 18:25</v>
      </c>
      <c r="L484" s="4" t="str">
        <f aca="false">IF(COUNTIF(Orders_Raw!$A$5:$A$539,A484)&gt;1,"YES","No")</f>
        <v>No</v>
      </c>
      <c r="M484" s="4" t="str">
        <f aca="false">IF(COUNTIFS($B$5:$B$539,B484,$D$5:$D$539,D484,$F$5:$F$539,F484)&gt;1,"YES","No")</f>
        <v>No</v>
      </c>
      <c r="N484" s="4" t="str">
        <f aca="false">IFERROR(INDEX(Customer_Master!$B$5:$B$64,MATCH(B484,Customer_Master!$A$5:$A$64,0)),"UNMATCHED")</f>
        <v>Yusuf Chukwu</v>
      </c>
      <c r="O484" s="4" t="str">
        <f aca="false">IFERROR(INDEX(Customer_Master!$C$5:$C$64,MATCH(B484,Customer_Master!$A$5:$A$64,0)),"UNMATCHED")</f>
        <v>Loyal</v>
      </c>
      <c r="P484" s="4" t="str">
        <f aca="false">IFERROR(INDEX(Customer_Master!$D$5:$D$64,MATCH(B484,Customer_Master!$A$5:$A$64,0)),"UNMATCHED")</f>
        <v>Lagos</v>
      </c>
      <c r="Q484" s="4" t="str">
        <f aca="false">IF(N484="UNMATCHED","Unmatched","Matched")</f>
        <v>Matched</v>
      </c>
      <c r="R484" s="4" t="str">
        <f aca="false">IF(OR(E484="No",G484="No",I484="No",L484="YES",Q484="Unmatched"),"NEEDS REVIEW","OK")</f>
        <v>OK</v>
      </c>
    </row>
    <row r="485" customFormat="false" ht="15" hidden="false" customHeight="false" outlineLevel="0" collapsed="false">
      <c r="A485" s="4" t="str">
        <f aca="false">Orders_Raw!A485</f>
        <v>ORD00238</v>
      </c>
      <c r="B485" s="4" t="str">
        <f aca="false">TRIM(UPPER(Orders_Raw!B485))</f>
        <v>CUST0019</v>
      </c>
      <c r="C485" s="4" t="str">
        <f aca="false">PROPER(TRIM(Orders_Raw!C485))</f>
        <v>Ifeoma Chukwu</v>
      </c>
      <c r="D485" s="6" t="str">
        <f aca="false">IFERROR(DATEVALUE(Orders_Raw!D485),"")</f>
        <v/>
      </c>
      <c r="E485" s="4" t="str">
        <f aca="false">IF(D485="","No","Yes")</f>
        <v>No</v>
      </c>
      <c r="F485" s="4" t="n">
        <f aca="false">IFERROR(VALUE(SUBSTITUTE(SUBSTITUTE(SUBSTITUTE(Orders_Raw!G485,"$",""),"NGN",""),",","")),"")</f>
        <v>1067.58</v>
      </c>
      <c r="G485" s="4" t="str">
        <f aca="false">IF(F485="","No","Yes")</f>
        <v>Yes</v>
      </c>
      <c r="H485" s="4" t="str">
        <f aca="false">Orders_Raw!F485</f>
        <v>1</v>
      </c>
      <c r="I485" s="4" t="str">
        <f aca="false">IF(H485="","No",IF(H485&lt;=0,"No","Yes"))</f>
        <v>Yes</v>
      </c>
      <c r="J485" s="4" t="str">
        <f aca="false">Orders_Raw!E485</f>
        <v>Headphones</v>
      </c>
      <c r="K485" s="4" t="str">
        <f aca="false">Orders_Raw!H485</f>
        <v>2026-07-16 12:05</v>
      </c>
      <c r="L485" s="4" t="str">
        <f aca="false">IF(COUNTIF(Orders_Raw!$A$5:$A$539,A485)&gt;1,"YES","No")</f>
        <v>No</v>
      </c>
      <c r="M485" s="4" t="str">
        <f aca="false">IF(COUNTIFS($B$5:$B$539,B485,$D$5:$D$539,D485,$F$5:$F$539,F485)&gt;1,"YES","No")</f>
        <v>No</v>
      </c>
      <c r="N485" s="4" t="str">
        <f aca="false">IFERROR(INDEX(Customer_Master!$B$5:$B$64,MATCH(B485,Customer_Master!$A$5:$A$64,0)),"UNMATCHED")</f>
        <v>Ifeoma Chukwu</v>
      </c>
      <c r="O485" s="4" t="str">
        <f aca="false">IFERROR(INDEX(Customer_Master!$C$5:$C$64,MATCH(B485,Customer_Master!$A$5:$A$64,0)),"UNMATCHED")</f>
        <v>Loyal</v>
      </c>
      <c r="P485" s="4" t="str">
        <f aca="false">IFERROR(INDEX(Customer_Master!$D$5:$D$64,MATCH(B485,Customer_Master!$A$5:$A$64,0)),"UNMATCHED")</f>
        <v>Ibadan</v>
      </c>
      <c r="Q485" s="4" t="str">
        <f aca="false">IF(N485="UNMATCHED","Unmatched","Matched")</f>
        <v>Matched</v>
      </c>
      <c r="R485" s="4" t="str">
        <f aca="false">IF(OR(E485="No",G485="No",I485="No",L485="YES",Q485="Unmatched"),"NEEDS REVIEW","OK")</f>
        <v>NEEDS REVIEW</v>
      </c>
    </row>
    <row r="486" customFormat="false" ht="15" hidden="false" customHeight="false" outlineLevel="0" collapsed="false">
      <c r="A486" s="4" t="str">
        <f aca="false">Orders_Raw!A486</f>
        <v>ORD00113</v>
      </c>
      <c r="B486" s="4" t="str">
        <f aca="false">TRIM(UPPER(Orders_Raw!B486))</f>
        <v>CUST0044</v>
      </c>
      <c r="C486" s="4" t="str">
        <f aca="false">PROPER(TRIM(Orders_Raw!C486))</f>
        <v>Emeka Yakubu</v>
      </c>
      <c r="D486" s="6" t="n">
        <f aca="false">IFERROR(DATEVALUE(Orders_Raw!D486),"")</f>
        <v>46141</v>
      </c>
      <c r="E486" s="4" t="str">
        <f aca="false">IF(D486="","No","Yes")</f>
        <v>Yes</v>
      </c>
      <c r="F486" s="4" t="n">
        <f aca="false">IFERROR(VALUE(SUBSTITUTE(SUBSTITUTE(SUBSTITUTE(Orders_Raw!G486,"$",""),"NGN",""),",","")),"")</f>
        <v>1948.64</v>
      </c>
      <c r="G486" s="4" t="str">
        <f aca="false">IF(F486="","No","Yes")</f>
        <v>Yes</v>
      </c>
      <c r="H486" s="4" t="str">
        <f aca="false">Orders_Raw!F486</f>
        <v>3</v>
      </c>
      <c r="I486" s="4" t="str">
        <f aca="false">IF(H486="","No",IF(H486&lt;=0,"No","Yes"))</f>
        <v>Yes</v>
      </c>
      <c r="J486" s="4" t="str">
        <f aca="false">Orders_Raw!E486</f>
        <v>Charger</v>
      </c>
      <c r="K486" s="4" t="str">
        <f aca="false">Orders_Raw!H486</f>
        <v>2026-04-29 17:08</v>
      </c>
      <c r="L486" s="4" t="str">
        <f aca="false">IF(COUNTIF(Orders_Raw!$A$5:$A$539,A486)&gt;1,"YES","No")</f>
        <v>No</v>
      </c>
      <c r="M486" s="4" t="str">
        <f aca="false">IF(COUNTIFS($B$5:$B$539,B486,$D$5:$D$539,D486,$F$5:$F$539,F486)&gt;1,"YES","No")</f>
        <v>No</v>
      </c>
      <c r="N486" s="4" t="str">
        <f aca="false">IFERROR(INDEX(Customer_Master!$B$5:$B$64,MATCH(B486,Customer_Master!$A$5:$A$64,0)),"UNMATCHED")</f>
        <v>Emeka Yakubu</v>
      </c>
      <c r="O486" s="4" t="str">
        <f aca="false">IFERROR(INDEX(Customer_Master!$C$5:$C$64,MATCH(B486,Customer_Master!$A$5:$A$64,0)),"UNMATCHED")</f>
        <v>Champions</v>
      </c>
      <c r="P486" s="4" t="str">
        <f aca="false">IFERROR(INDEX(Customer_Master!$D$5:$D$64,MATCH(B486,Customer_Master!$A$5:$A$64,0)),"UNMATCHED")</f>
        <v>Port Harcourt</v>
      </c>
      <c r="Q486" s="4" t="str">
        <f aca="false">IF(N486="UNMATCHED","Unmatched","Matched")</f>
        <v>Matched</v>
      </c>
      <c r="R486" s="4" t="str">
        <f aca="false">IF(OR(E486="No",G486="No",I486="No",L486="YES",Q486="Unmatched"),"NEEDS REVIEW","OK")</f>
        <v>OK</v>
      </c>
    </row>
    <row r="487" customFormat="false" ht="15" hidden="false" customHeight="false" outlineLevel="0" collapsed="false">
      <c r="A487" s="4" t="str">
        <f aca="false">Orders_Raw!A487</f>
        <v>ORD00260</v>
      </c>
      <c r="B487" s="4" t="str">
        <f aca="false">TRIM(UPPER(Orders_Raw!B487))</f>
        <v>CUST0052</v>
      </c>
      <c r="C487" s="4" t="str">
        <f aca="false">PROPER(TRIM(Orders_Raw!C487))</f>
        <v>Mary Adeyemi</v>
      </c>
      <c r="D487" s="6" t="n">
        <f aca="false">IFERROR(DATEVALUE(Orders_Raw!D487),"")</f>
        <v>46120</v>
      </c>
      <c r="E487" s="4" t="str">
        <f aca="false">IF(D487="","No","Yes")</f>
        <v>Yes</v>
      </c>
      <c r="F487" s="4" t="n">
        <f aca="false">IFERROR(VALUE(SUBSTITUTE(SUBSTITUTE(SUBSTITUTE(Orders_Raw!G487,"$",""),"NGN",""),",","")),"")</f>
        <v>1207.02</v>
      </c>
      <c r="G487" s="4" t="str">
        <f aca="false">IF(F487="","No","Yes")</f>
        <v>Yes</v>
      </c>
      <c r="H487" s="4" t="str">
        <f aca="false">Orders_Raw!F487</f>
        <v>2</v>
      </c>
      <c r="I487" s="4" t="str">
        <f aca="false">IF(H487="","No",IF(H487&lt;=0,"No","Yes"))</f>
        <v>Yes</v>
      </c>
      <c r="J487" s="4" t="str">
        <f aca="false">Orders_Raw!E487</f>
        <v>Monitor</v>
      </c>
      <c r="K487" s="4" t="str">
        <f aca="false">Orders_Raw!H487</f>
        <v>2026-04-08 12:11</v>
      </c>
      <c r="L487" s="4" t="str">
        <f aca="false">IF(COUNTIF(Orders_Raw!$A$5:$A$539,A487)&gt;1,"YES","No")</f>
        <v>No</v>
      </c>
      <c r="M487" s="4" t="str">
        <f aca="false">IF(COUNTIFS($B$5:$B$539,B487,$D$5:$D$539,D487,$F$5:$F$539,F487)&gt;1,"YES","No")</f>
        <v>No</v>
      </c>
      <c r="N487" s="4" t="str">
        <f aca="false">IFERROR(INDEX(Customer_Master!$B$5:$B$64,MATCH(B487,Customer_Master!$A$5:$A$64,0)),"UNMATCHED")</f>
        <v>Mary Adeyemi</v>
      </c>
      <c r="O487" s="4" t="str">
        <f aca="false">IFERROR(INDEX(Customer_Master!$C$5:$C$64,MATCH(B487,Customer_Master!$A$5:$A$64,0)),"UNMATCHED")</f>
        <v>Loyal</v>
      </c>
      <c r="P487" s="4" t="str">
        <f aca="false">IFERROR(INDEX(Customer_Master!$D$5:$D$64,MATCH(B487,Customer_Master!$A$5:$A$64,0)),"UNMATCHED")</f>
        <v>Abuja</v>
      </c>
      <c r="Q487" s="4" t="str">
        <f aca="false">IF(N487="UNMATCHED","Unmatched","Matched")</f>
        <v>Matched</v>
      </c>
      <c r="R487" s="4" t="str">
        <f aca="false">IF(OR(E487="No",G487="No",I487="No",L487="YES",Q487="Unmatched"),"NEEDS REVIEW","OK")</f>
        <v>OK</v>
      </c>
    </row>
    <row r="488" customFormat="false" ht="15" hidden="false" customHeight="false" outlineLevel="0" collapsed="false">
      <c r="A488" s="4" t="str">
        <f aca="false">Orders_Raw!A488</f>
        <v>ORD00277</v>
      </c>
      <c r="B488" s="4" t="str">
        <f aca="false">TRIM(UPPER(Orders_Raw!B488))</f>
        <v>CUST0012</v>
      </c>
      <c r="C488" s="4" t="str">
        <f aca="false">PROPER(TRIM(Orders_Raw!C488))</f>
        <v>Kemi Sani</v>
      </c>
      <c r="D488" s="6" t="str">
        <f aca="false">IFERROR(DATEVALUE(Orders_Raw!D488),"")</f>
        <v/>
      </c>
      <c r="E488" s="4" t="str">
        <f aca="false">IF(D488="","No","Yes")</f>
        <v>No</v>
      </c>
      <c r="F488" s="4" t="n">
        <f aca="false">IFERROR(VALUE(SUBSTITUTE(SUBSTITUTE(SUBSTITUTE(Orders_Raw!G488,"$",""),"NGN",""),",","")),"")</f>
        <v>669.55</v>
      </c>
      <c r="G488" s="4" t="str">
        <f aca="false">IF(F488="","No","Yes")</f>
        <v>Yes</v>
      </c>
      <c r="H488" s="4" t="str">
        <f aca="false">Orders_Raw!F488</f>
        <v>3</v>
      </c>
      <c r="I488" s="4" t="str">
        <f aca="false">IF(H488="","No",IF(H488&lt;=0,"No","Yes"))</f>
        <v>Yes</v>
      </c>
      <c r="J488" s="4" t="str">
        <f aca="false">Orders_Raw!E488</f>
        <v>Phone</v>
      </c>
      <c r="K488" s="4" t="str">
        <f aca="false">Orders_Raw!H488</f>
        <v>2026-04-23 09:42</v>
      </c>
      <c r="L488" s="4" t="str">
        <f aca="false">IF(COUNTIF(Orders_Raw!$A$5:$A$539,A488)&gt;1,"YES","No")</f>
        <v>No</v>
      </c>
      <c r="M488" s="4" t="str">
        <f aca="false">IF(COUNTIFS($B$5:$B$539,B488,$D$5:$D$539,D488,$F$5:$F$539,F488)&gt;1,"YES","No")</f>
        <v>No</v>
      </c>
      <c r="N488" s="4" t="str">
        <f aca="false">IFERROR(INDEX(Customer_Master!$B$5:$B$64,MATCH(B488,Customer_Master!$A$5:$A$64,0)),"UNMATCHED")</f>
        <v>Kemi Sani</v>
      </c>
      <c r="O488" s="4" t="str">
        <f aca="false">IFERROR(INDEX(Customer_Master!$C$5:$C$64,MATCH(B488,Customer_Master!$A$5:$A$64,0)),"UNMATCHED")</f>
        <v>Champions</v>
      </c>
      <c r="P488" s="4" t="str">
        <f aca="false">IFERROR(INDEX(Customer_Master!$D$5:$D$64,MATCH(B488,Customer_Master!$A$5:$A$64,0)),"UNMATCHED")</f>
        <v>Kaduna</v>
      </c>
      <c r="Q488" s="4" t="str">
        <f aca="false">IF(N488="UNMATCHED","Unmatched","Matched")</f>
        <v>Matched</v>
      </c>
      <c r="R488" s="4" t="str">
        <f aca="false">IF(OR(E488="No",G488="No",I488="No",L488="YES",Q488="Unmatched"),"NEEDS REVIEW","OK")</f>
        <v>NEEDS REVIEW</v>
      </c>
    </row>
    <row r="489" customFormat="false" ht="15" hidden="false" customHeight="false" outlineLevel="0" collapsed="false">
      <c r="A489" s="4" t="str">
        <f aca="false">Orders_Raw!A489</f>
        <v>ORD00390</v>
      </c>
      <c r="B489" s="4" t="str">
        <f aca="false">TRIM(UPPER(Orders_Raw!B489))</f>
        <v>CUST0055</v>
      </c>
      <c r="C489" s="4" t="str">
        <f aca="false">PROPER(TRIM(Orders_Raw!C489))</f>
        <v>Amaka Adamu</v>
      </c>
      <c r="D489" s="6" t="n">
        <f aca="false">IFERROR(DATEVALUE(Orders_Raw!D489),"")</f>
        <v>46212</v>
      </c>
      <c r="E489" s="4" t="str">
        <f aca="false">IF(D489="","No","Yes")</f>
        <v>Yes</v>
      </c>
      <c r="F489" s="4" t="n">
        <f aca="false">IFERROR(VALUE(SUBSTITUTE(SUBSTITUTE(SUBSTITUTE(Orders_Raw!G489,"$",""),"NGN",""),",","")),"")</f>
        <v>1190.37</v>
      </c>
      <c r="G489" s="4" t="str">
        <f aca="false">IF(F489="","No","Yes")</f>
        <v>Yes</v>
      </c>
      <c r="H489" s="4" t="str">
        <f aca="false">Orders_Raw!F489</f>
        <v>1</v>
      </c>
      <c r="I489" s="4" t="str">
        <f aca="false">IF(H489="","No",IF(H489&lt;=0,"No","Yes"))</f>
        <v>Yes</v>
      </c>
      <c r="J489" s="4" t="str">
        <f aca="false">Orders_Raw!E489</f>
        <v>Tablet</v>
      </c>
      <c r="K489" s="4" t="str">
        <f aca="false">Orders_Raw!H489</f>
        <v>2026-07-09 16:46</v>
      </c>
      <c r="L489" s="4" t="str">
        <f aca="false">IF(COUNTIF(Orders_Raw!$A$5:$A$539,A489)&gt;1,"YES","No")</f>
        <v>No</v>
      </c>
      <c r="M489" s="4" t="str">
        <f aca="false">IF(COUNTIFS($B$5:$B$539,B489,$D$5:$D$539,D489,$F$5:$F$539,F489)&gt;1,"YES","No")</f>
        <v>No</v>
      </c>
      <c r="N489" s="4" t="str">
        <f aca="false">IFERROR(INDEX(Customer_Master!$B$5:$B$64,MATCH(B489,Customer_Master!$A$5:$A$64,0)),"UNMATCHED")</f>
        <v>Amaka Adamu</v>
      </c>
      <c r="O489" s="4" t="str">
        <f aca="false">IFERROR(INDEX(Customer_Master!$C$5:$C$64,MATCH(B489,Customer_Master!$A$5:$A$64,0)),"UNMATCHED")</f>
        <v>Loyal</v>
      </c>
      <c r="P489" s="4" t="str">
        <f aca="false">IFERROR(INDEX(Customer_Master!$D$5:$D$64,MATCH(B489,Customer_Master!$A$5:$A$64,0)),"UNMATCHED")</f>
        <v>Kaduna</v>
      </c>
      <c r="Q489" s="4" t="str">
        <f aca="false">IF(N489="UNMATCHED","Unmatched","Matched")</f>
        <v>Matched</v>
      </c>
      <c r="R489" s="4" t="str">
        <f aca="false">IF(OR(E489="No",G489="No",I489="No",L489="YES",Q489="Unmatched"),"NEEDS REVIEW","OK")</f>
        <v>OK</v>
      </c>
    </row>
    <row r="490" customFormat="false" ht="15" hidden="false" customHeight="false" outlineLevel="0" collapsed="false">
      <c r="A490" s="4" t="str">
        <f aca="false">Orders_Raw!A490</f>
        <v>ORD00442</v>
      </c>
      <c r="B490" s="4" t="str">
        <f aca="false">TRIM(UPPER(Orders_Raw!B490))</f>
        <v>CUST0022</v>
      </c>
      <c r="C490" s="4" t="str">
        <f aca="false">PROPER(TRIM(Orders_Raw!C490))</f>
        <v>Musa Sani</v>
      </c>
      <c r="D490" s="6" t="n">
        <f aca="false">IFERROR(DATEVALUE(Orders_Raw!D490),"")</f>
        <v>46027</v>
      </c>
      <c r="E490" s="4" t="str">
        <f aca="false">IF(D490="","No","Yes")</f>
        <v>Yes</v>
      </c>
      <c r="F490" s="4" t="n">
        <f aca="false">IFERROR(VALUE(SUBSTITUTE(SUBSTITUTE(SUBSTITUTE(Orders_Raw!G490,"$",""),"NGN",""),",","")),"")</f>
        <v>1715.51</v>
      </c>
      <c r="G490" s="4" t="str">
        <f aca="false">IF(F490="","No","Yes")</f>
        <v>Yes</v>
      </c>
      <c r="H490" s="4" t="str">
        <f aca="false">Orders_Raw!F490</f>
        <v>4</v>
      </c>
      <c r="I490" s="4" t="str">
        <f aca="false">IF(H490="","No",IF(H490&lt;=0,"No","Yes"))</f>
        <v>Yes</v>
      </c>
      <c r="J490" s="4" t="str">
        <f aca="false">Orders_Raw!E490</f>
        <v>Tablet</v>
      </c>
      <c r="K490" s="4" t="str">
        <f aca="false">Orders_Raw!H490</f>
        <v>2026-01-05 12:51</v>
      </c>
      <c r="L490" s="4" t="str">
        <f aca="false">IF(COUNTIF(Orders_Raw!$A$5:$A$539,A490)&gt;1,"YES","No")</f>
        <v>No</v>
      </c>
      <c r="M490" s="4" t="str">
        <f aca="false">IF(COUNTIFS($B$5:$B$539,B490,$D$5:$D$539,D490,$F$5:$F$539,F490)&gt;1,"YES","No")</f>
        <v>No</v>
      </c>
      <c r="N490" s="4" t="str">
        <f aca="false">IFERROR(INDEX(Customer_Master!$B$5:$B$64,MATCH(B490,Customer_Master!$A$5:$A$64,0)),"UNMATCHED")</f>
        <v>Musa Sani</v>
      </c>
      <c r="O490" s="4" t="str">
        <f aca="false">IFERROR(INDEX(Customer_Master!$C$5:$C$64,MATCH(B490,Customer_Master!$A$5:$A$64,0)),"UNMATCHED")</f>
        <v>New</v>
      </c>
      <c r="P490" s="4" t="str">
        <f aca="false">IFERROR(INDEX(Customer_Master!$D$5:$D$64,MATCH(B490,Customer_Master!$A$5:$A$64,0)),"UNMATCHED")</f>
        <v>Kano</v>
      </c>
      <c r="Q490" s="4" t="str">
        <f aca="false">IF(N490="UNMATCHED","Unmatched","Matched")</f>
        <v>Matched</v>
      </c>
      <c r="R490" s="4" t="str">
        <f aca="false">IF(OR(E490="No",G490="No",I490="No",L490="YES",Q490="Unmatched"),"NEEDS REVIEW","OK")</f>
        <v>OK</v>
      </c>
    </row>
    <row r="491" customFormat="false" ht="15" hidden="false" customHeight="false" outlineLevel="0" collapsed="false">
      <c r="A491" s="4" t="str">
        <f aca="false">Orders_Raw!A491</f>
        <v>ORD00186</v>
      </c>
      <c r="B491" s="4" t="str">
        <f aca="false">TRIM(UPPER(Orders_Raw!B491))</f>
        <v>CUST0004</v>
      </c>
      <c r="C491" s="4" t="str">
        <f aca="false">PROPER(TRIM(Orders_Raw!C491))</f>
        <v>Grace Duru</v>
      </c>
      <c r="D491" s="6" t="str">
        <f aca="false">IFERROR(DATEVALUE(Orders_Raw!D491),"")</f>
        <v/>
      </c>
      <c r="E491" s="4" t="str">
        <f aca="false">IF(D491="","No","Yes")</f>
        <v>No</v>
      </c>
      <c r="F491" s="4" t="n">
        <f aca="false">IFERROR(VALUE(SUBSTITUTE(SUBSTITUTE(SUBSTITUTE(Orders_Raw!G491,"$",""),"NGN",""),",","")),"")</f>
        <v>1914.38</v>
      </c>
      <c r="G491" s="4" t="str">
        <f aca="false">IF(F491="","No","Yes")</f>
        <v>Yes</v>
      </c>
      <c r="H491" s="4" t="str">
        <f aca="false">Orders_Raw!F491</f>
        <v>1</v>
      </c>
      <c r="I491" s="4" t="str">
        <f aca="false">IF(H491="","No",IF(H491&lt;=0,"No","Yes"))</f>
        <v>Yes</v>
      </c>
      <c r="J491" s="4" t="str">
        <f aca="false">Orders_Raw!E491</f>
        <v>Headphones</v>
      </c>
      <c r="K491" s="4" t="str">
        <f aca="false">Orders_Raw!H491</f>
        <v>2026-06-21 08:13</v>
      </c>
      <c r="L491" s="4" t="str">
        <f aca="false">IF(COUNTIF(Orders_Raw!$A$5:$A$539,A491)&gt;1,"YES","No")</f>
        <v>No</v>
      </c>
      <c r="M491" s="4" t="str">
        <f aca="false">IF(COUNTIFS($B$5:$B$539,B491,$D$5:$D$539,D491,$F$5:$F$539,F491)&gt;1,"YES","No")</f>
        <v>No</v>
      </c>
      <c r="N491" s="4" t="str">
        <f aca="false">IFERROR(INDEX(Customer_Master!$B$5:$B$64,MATCH(B491,Customer_Master!$A$5:$A$64,0)),"UNMATCHED")</f>
        <v>Grace Duru</v>
      </c>
      <c r="O491" s="4" t="str">
        <f aca="false">IFERROR(INDEX(Customer_Master!$C$5:$C$64,MATCH(B491,Customer_Master!$A$5:$A$64,0)),"UNMATCHED")</f>
        <v>Champions</v>
      </c>
      <c r="P491" s="4" t="str">
        <f aca="false">IFERROR(INDEX(Customer_Master!$D$5:$D$64,MATCH(B491,Customer_Master!$A$5:$A$64,0)),"UNMATCHED")</f>
        <v>Kano</v>
      </c>
      <c r="Q491" s="4" t="str">
        <f aca="false">IF(N491="UNMATCHED","Unmatched","Matched")</f>
        <v>Matched</v>
      </c>
      <c r="R491" s="4" t="str">
        <f aca="false">IF(OR(E491="No",G491="No",I491="No",L491="YES",Q491="Unmatched"),"NEEDS REVIEW","OK")</f>
        <v>NEEDS REVIEW</v>
      </c>
    </row>
    <row r="492" customFormat="false" ht="15" hidden="false" customHeight="false" outlineLevel="0" collapsed="false">
      <c r="A492" s="4" t="str">
        <f aca="false">Orders_Raw!A492</f>
        <v>ORD00317</v>
      </c>
      <c r="B492" s="4" t="str">
        <f aca="false">TRIM(UPPER(Orders_Raw!B492))</f>
        <v>CUST0047</v>
      </c>
      <c r="C492" s="4" t="str">
        <f aca="false">PROPER(TRIM(Orders_Raw!C492))</f>
        <v>Amaka Adamu</v>
      </c>
      <c r="D492" s="6" t="str">
        <f aca="false">IFERROR(DATEVALUE(Orders_Raw!D492),"")</f>
        <v/>
      </c>
      <c r="E492" s="4" t="str">
        <f aca="false">IF(D492="","No","Yes")</f>
        <v>No</v>
      </c>
      <c r="F492" s="4" t="n">
        <f aca="false">IFERROR(VALUE(SUBSTITUTE(SUBSTITUTE(SUBSTITUTE(Orders_Raw!G492,"$",""),"NGN",""),",","")),"")</f>
        <v>384.41</v>
      </c>
      <c r="G492" s="4" t="str">
        <f aca="false">IF(F492="","No","Yes")</f>
        <v>Yes</v>
      </c>
      <c r="H492" s="4" t="str">
        <f aca="false">Orders_Raw!F492</f>
        <v>3</v>
      </c>
      <c r="I492" s="4" t="str">
        <f aca="false">IF(H492="","No",IF(H492&lt;=0,"No","Yes"))</f>
        <v>Yes</v>
      </c>
      <c r="J492" s="4" t="str">
        <f aca="false">Orders_Raw!E492</f>
        <v>Headphones</v>
      </c>
      <c r="K492" s="4" t="str">
        <f aca="false">Orders_Raw!H492</f>
        <v>2026-06-19 16:54</v>
      </c>
      <c r="L492" s="4" t="str">
        <f aca="false">IF(COUNTIF(Orders_Raw!$A$5:$A$539,A492)&gt;1,"YES","No")</f>
        <v>No</v>
      </c>
      <c r="M492" s="4" t="str">
        <f aca="false">IF(COUNTIFS($B$5:$B$539,B492,$D$5:$D$539,D492,$F$5:$F$539,F492)&gt;1,"YES","No")</f>
        <v>No</v>
      </c>
      <c r="N492" s="4" t="str">
        <f aca="false">IFERROR(INDEX(Customer_Master!$B$5:$B$64,MATCH(B492,Customer_Master!$A$5:$A$64,0)),"UNMATCHED")</f>
        <v>Amaka Adamu</v>
      </c>
      <c r="O492" s="4" t="str">
        <f aca="false">IFERROR(INDEX(Customer_Master!$C$5:$C$64,MATCH(B492,Customer_Master!$A$5:$A$64,0)),"UNMATCHED")</f>
        <v>Loyal</v>
      </c>
      <c r="P492" s="4" t="str">
        <f aca="false">IFERROR(INDEX(Customer_Master!$D$5:$D$64,MATCH(B492,Customer_Master!$A$5:$A$64,0)),"UNMATCHED")</f>
        <v>Ibadan</v>
      </c>
      <c r="Q492" s="4" t="str">
        <f aca="false">IF(N492="UNMATCHED","Unmatched","Matched")</f>
        <v>Matched</v>
      </c>
      <c r="R492" s="4" t="str">
        <f aca="false">IF(OR(E492="No",G492="No",I492="No",L492="YES",Q492="Unmatched"),"NEEDS REVIEW","OK")</f>
        <v>NEEDS REVIEW</v>
      </c>
    </row>
    <row r="493" customFormat="false" ht="15" hidden="false" customHeight="false" outlineLevel="0" collapsed="false">
      <c r="A493" s="4" t="str">
        <f aca="false">Orders_Raw!A493</f>
        <v>ORD00049</v>
      </c>
      <c r="B493" s="4" t="str">
        <f aca="false">TRIM(UPPER(Orders_Raw!B493))</f>
        <v>CUST0014</v>
      </c>
      <c r="C493" s="4" t="str">
        <f aca="false">PROPER(TRIM(Orders_Raw!C493))</f>
        <v>Joy Eze</v>
      </c>
      <c r="D493" s="6" t="n">
        <f aca="false">IFERROR(DATEVALUE(Orders_Raw!D493),"")</f>
        <v>46063</v>
      </c>
      <c r="E493" s="4" t="str">
        <f aca="false">IF(D493="","No","Yes")</f>
        <v>Yes</v>
      </c>
      <c r="F493" s="4" t="n">
        <f aca="false">IFERROR(VALUE(SUBSTITUTE(SUBSTITUTE(SUBSTITUTE(Orders_Raw!G493,"$",""),"NGN",""),",","")),"")</f>
        <v>446.93</v>
      </c>
      <c r="G493" s="4" t="str">
        <f aca="false">IF(F493="","No","Yes")</f>
        <v>Yes</v>
      </c>
      <c r="H493" s="4" t="n">
        <f aca="false">Orders_Raw!F493</f>
        <v>0</v>
      </c>
      <c r="I493" s="4" t="str">
        <f aca="false">IF(H493="","No",IF(H493&lt;=0,"No","Yes"))</f>
        <v>No</v>
      </c>
      <c r="J493" s="4" t="str">
        <f aca="false">Orders_Raw!E493</f>
        <v>Printer</v>
      </c>
      <c r="K493" s="4" t="str">
        <f aca="false">Orders_Raw!H493</f>
        <v>2026-02-10 17:30</v>
      </c>
      <c r="L493" s="4" t="str">
        <f aca="false">IF(COUNTIF(Orders_Raw!$A$5:$A$539,A493)&gt;1,"YES","No")</f>
        <v>No</v>
      </c>
      <c r="M493" s="4" t="str">
        <f aca="false">IF(COUNTIFS($B$5:$B$539,B493,$D$5:$D$539,D493,$F$5:$F$539,F493)&gt;1,"YES","No")</f>
        <v>No</v>
      </c>
      <c r="N493" s="4" t="str">
        <f aca="false">IFERROR(INDEX(Customer_Master!$B$5:$B$64,MATCH(B493,Customer_Master!$A$5:$A$64,0)),"UNMATCHED")</f>
        <v>Joy Eze</v>
      </c>
      <c r="O493" s="4" t="str">
        <f aca="false">IFERROR(INDEX(Customer_Master!$C$5:$C$64,MATCH(B493,Customer_Master!$A$5:$A$64,0)),"UNMATCHED")</f>
        <v>New</v>
      </c>
      <c r="P493" s="4" t="str">
        <f aca="false">IFERROR(INDEX(Customer_Master!$D$5:$D$64,MATCH(B493,Customer_Master!$A$5:$A$64,0)),"UNMATCHED")</f>
        <v>Jos</v>
      </c>
      <c r="Q493" s="4" t="str">
        <f aca="false">IF(N493="UNMATCHED","Unmatched","Matched")</f>
        <v>Matched</v>
      </c>
      <c r="R493" s="4" t="str">
        <f aca="false">IF(OR(E493="No",G493="No",I493="No",L493="YES",Q493="Unmatched"),"NEEDS REVIEW","OK")</f>
        <v>NEEDS REVIEW</v>
      </c>
    </row>
    <row r="494" customFormat="false" ht="15" hidden="false" customHeight="false" outlineLevel="0" collapsed="false">
      <c r="A494" s="4" t="str">
        <f aca="false">Orders_Raw!A494</f>
        <v>ORD00272</v>
      </c>
      <c r="B494" s="4" t="str">
        <f aca="false">TRIM(UPPER(Orders_Raw!B494))</f>
        <v>CUSTO055</v>
      </c>
      <c r="C494" s="4" t="str">
        <f aca="false">PROPER(TRIM(Orders_Raw!C494))</f>
        <v>Amaka Adamu</v>
      </c>
      <c r="D494" s="6" t="n">
        <f aca="false">IFERROR(DATEVALUE(Orders_Raw!D494),"")</f>
        <v>46237</v>
      </c>
      <c r="E494" s="4" t="str">
        <f aca="false">IF(D494="","No","Yes")</f>
        <v>Yes</v>
      </c>
      <c r="F494" s="4" t="n">
        <f aca="false">IFERROR(VALUE(SUBSTITUTE(SUBSTITUTE(SUBSTITUTE(Orders_Raw!G494,"$",""),"NGN",""),",","")),"")</f>
        <v>199.39</v>
      </c>
      <c r="G494" s="4" t="str">
        <f aca="false">IF(F494="","No","Yes")</f>
        <v>Yes</v>
      </c>
      <c r="H494" s="4" t="str">
        <f aca="false">Orders_Raw!F494</f>
        <v>2</v>
      </c>
      <c r="I494" s="4" t="str">
        <f aca="false">IF(H494="","No",IF(H494&lt;=0,"No","Yes"))</f>
        <v>Yes</v>
      </c>
      <c r="J494" s="4" t="str">
        <f aca="false">Orders_Raw!E494</f>
        <v>Phone</v>
      </c>
      <c r="K494" s="4" t="str">
        <f aca="false">Orders_Raw!H494</f>
        <v>2026-03-08 13:38</v>
      </c>
      <c r="L494" s="4" t="str">
        <f aca="false">IF(COUNTIF(Orders_Raw!$A$5:$A$539,A494)&gt;1,"YES","No")</f>
        <v>No</v>
      </c>
      <c r="M494" s="4" t="str">
        <f aca="false">IF(COUNTIFS($B$5:$B$539,B494,$D$5:$D$539,D494,$F$5:$F$539,F494)&gt;1,"YES","No")</f>
        <v>No</v>
      </c>
      <c r="N494" s="4" t="str">
        <f aca="false">IFERROR(INDEX(Customer_Master!$B$5:$B$64,MATCH(B494,Customer_Master!$A$5:$A$64,0)),"UNMATCHED")</f>
        <v>UNMATCHED</v>
      </c>
      <c r="O494" s="4" t="str">
        <f aca="false">IFERROR(INDEX(Customer_Master!$C$5:$C$64,MATCH(B494,Customer_Master!$A$5:$A$64,0)),"UNMATCHED")</f>
        <v>UNMATCHED</v>
      </c>
      <c r="P494" s="4" t="str">
        <f aca="false">IFERROR(INDEX(Customer_Master!$D$5:$D$64,MATCH(B494,Customer_Master!$A$5:$A$64,0)),"UNMATCHED")</f>
        <v>UNMATCHED</v>
      </c>
      <c r="Q494" s="4" t="str">
        <f aca="false">IF(N494="UNMATCHED","Unmatched","Matched")</f>
        <v>Unmatched</v>
      </c>
      <c r="R494" s="4" t="str">
        <f aca="false">IF(OR(E494="No",G494="No",I494="No",L494="YES",Q494="Unmatched"),"NEEDS REVIEW","OK")</f>
        <v>NEEDS REVIEW</v>
      </c>
    </row>
    <row r="495" customFormat="false" ht="15" hidden="false" customHeight="false" outlineLevel="0" collapsed="false">
      <c r="A495" s="4" t="str">
        <f aca="false">Orders_Raw!A495</f>
        <v>ORD00061</v>
      </c>
      <c r="B495" s="4" t="str">
        <f aca="false">TRIM(UPPER(Orders_Raw!B495))</f>
        <v>CUST0001</v>
      </c>
      <c r="C495" s="4" t="str">
        <f aca="false">PROPER(TRIM(Orders_Raw!C495))</f>
        <v>Ola Lawal</v>
      </c>
      <c r="D495" s="6" t="n">
        <f aca="false">IFERROR(DATEVALUE(Orders_Raw!D495),"")</f>
        <v>46173</v>
      </c>
      <c r="E495" s="4" t="str">
        <f aca="false">IF(D495="","No","Yes")</f>
        <v>Yes</v>
      </c>
      <c r="F495" s="4" t="n">
        <f aca="false">IFERROR(VALUE(SUBSTITUTE(SUBSTITUTE(SUBSTITUTE(Orders_Raw!G495,"$",""),"NGN",""),",","")),"")</f>
        <v>2497.27</v>
      </c>
      <c r="G495" s="4" t="str">
        <f aca="false">IF(F495="","No","Yes")</f>
        <v>Yes</v>
      </c>
      <c r="H495" s="4" t="str">
        <f aca="false">Orders_Raw!F495</f>
        <v>5</v>
      </c>
      <c r="I495" s="4" t="str">
        <f aca="false">IF(H495="","No",IF(H495&lt;=0,"No","Yes"))</f>
        <v>Yes</v>
      </c>
      <c r="J495" s="4" t="str">
        <f aca="false">Orders_Raw!E495</f>
        <v>Keyboard</v>
      </c>
      <c r="K495" s="4" t="str">
        <f aca="false">Orders_Raw!H495</f>
        <v>2026-05-31 13:35</v>
      </c>
      <c r="L495" s="4" t="str">
        <f aca="false">IF(COUNTIF(Orders_Raw!$A$5:$A$539,A495)&gt;1,"YES","No")</f>
        <v>No</v>
      </c>
      <c r="M495" s="4" t="str">
        <f aca="false">IF(COUNTIFS($B$5:$B$539,B495,$D$5:$D$539,D495,$F$5:$F$539,F495)&gt;1,"YES","No")</f>
        <v>No</v>
      </c>
      <c r="N495" s="4" t="str">
        <f aca="false">IFERROR(INDEX(Customer_Master!$B$5:$B$64,MATCH(B495,Customer_Master!$A$5:$A$64,0)),"UNMATCHED")</f>
        <v>Ola Lawal</v>
      </c>
      <c r="O495" s="4" t="str">
        <f aca="false">IFERROR(INDEX(Customer_Master!$C$5:$C$64,MATCH(B495,Customer_Master!$A$5:$A$64,0)),"UNMATCHED")</f>
        <v>Champions</v>
      </c>
      <c r="P495" s="4" t="str">
        <f aca="false">IFERROR(INDEX(Customer_Master!$D$5:$D$64,MATCH(B495,Customer_Master!$A$5:$A$64,0)),"UNMATCHED")</f>
        <v>Ibadan</v>
      </c>
      <c r="Q495" s="4" t="str">
        <f aca="false">IF(N495="UNMATCHED","Unmatched","Matched")</f>
        <v>Matched</v>
      </c>
      <c r="R495" s="4" t="str">
        <f aca="false">IF(OR(E495="No",G495="No",I495="No",L495="YES",Q495="Unmatched"),"NEEDS REVIEW","OK")</f>
        <v>OK</v>
      </c>
    </row>
    <row r="496" customFormat="false" ht="15" hidden="false" customHeight="false" outlineLevel="0" collapsed="false">
      <c r="A496" s="4" t="str">
        <f aca="false">Orders_Raw!A496</f>
        <v>ORD00099</v>
      </c>
      <c r="B496" s="4" t="str">
        <f aca="false">TRIM(UPPER(Orders_Raw!B496))</f>
        <v>CUST0026</v>
      </c>
      <c r="C496" s="4" t="str">
        <f aca="false">PROPER(TRIM(Orders_Raw!C496))</f>
        <v>Amaka Yakubu</v>
      </c>
      <c r="D496" s="6" t="n">
        <f aca="false">IFERROR(DATEVALUE(Orders_Raw!D496),"")</f>
        <v>46240</v>
      </c>
      <c r="E496" s="4" t="str">
        <f aca="false">IF(D496="","No","Yes")</f>
        <v>Yes</v>
      </c>
      <c r="F496" s="4" t="n">
        <f aca="false">IFERROR(VALUE(SUBSTITUTE(SUBSTITUTE(SUBSTITUTE(Orders_Raw!G496,"$",""),"NGN",""),",","")),"")</f>
        <v>2082.58</v>
      </c>
      <c r="G496" s="4" t="str">
        <f aca="false">IF(F496="","No","Yes")</f>
        <v>Yes</v>
      </c>
      <c r="H496" s="4" t="str">
        <f aca="false">Orders_Raw!F496</f>
        <v>1</v>
      </c>
      <c r="I496" s="4" t="str">
        <f aca="false">IF(H496="","No",IF(H496&lt;=0,"No","Yes"))</f>
        <v>Yes</v>
      </c>
      <c r="J496" s="4" t="str">
        <f aca="false">Orders_Raw!E496</f>
        <v>Monitor</v>
      </c>
      <c r="K496" s="4" t="str">
        <f aca="false">Orders_Raw!H496</f>
        <v>2026-06-08 17:25</v>
      </c>
      <c r="L496" s="4" t="str">
        <f aca="false">IF(COUNTIF(Orders_Raw!$A$5:$A$539,A496)&gt;1,"YES","No")</f>
        <v>No</v>
      </c>
      <c r="M496" s="4" t="str">
        <f aca="false">IF(COUNTIFS($B$5:$B$539,B496,$D$5:$D$539,D496,$F$5:$F$539,F496)&gt;1,"YES","No")</f>
        <v>No</v>
      </c>
      <c r="N496" s="4" t="str">
        <f aca="false">IFERROR(INDEX(Customer_Master!$B$5:$B$64,MATCH(B496,Customer_Master!$A$5:$A$64,0)),"UNMATCHED")</f>
        <v>Amaka Yakubu</v>
      </c>
      <c r="O496" s="4" t="str">
        <f aca="false">IFERROR(INDEX(Customer_Master!$C$5:$C$64,MATCH(B496,Customer_Master!$A$5:$A$64,0)),"UNMATCHED")</f>
        <v>Lost / Low-Value</v>
      </c>
      <c r="P496" s="4" t="str">
        <f aca="false">IFERROR(INDEX(Customer_Master!$D$5:$D$64,MATCH(B496,Customer_Master!$A$5:$A$64,0)),"UNMATCHED")</f>
        <v>Kaduna</v>
      </c>
      <c r="Q496" s="4" t="str">
        <f aca="false">IF(N496="UNMATCHED","Unmatched","Matched")</f>
        <v>Matched</v>
      </c>
      <c r="R496" s="4" t="str">
        <f aca="false">IF(OR(E496="No",G496="No",I496="No",L496="YES",Q496="Unmatched"),"NEEDS REVIEW","OK")</f>
        <v>OK</v>
      </c>
    </row>
    <row r="497" customFormat="false" ht="15" hidden="false" customHeight="false" outlineLevel="0" collapsed="false">
      <c r="A497" s="4" t="str">
        <f aca="false">Orders_Raw!A497</f>
        <v>ORD00121</v>
      </c>
      <c r="B497" s="4" t="str">
        <f aca="false">TRIM(UPPER(Orders_Raw!B497))</f>
        <v>CUST0002</v>
      </c>
      <c r="C497" s="4" t="str">
        <f aca="false">PROPER(TRIM(Orders_Raw!C497))</f>
        <v>Tunde Ajayi</v>
      </c>
      <c r="D497" s="6" t="n">
        <f aca="false">IFERROR(DATEVALUE(Orders_Raw!D497),"")</f>
        <v>46111</v>
      </c>
      <c r="E497" s="4" t="str">
        <f aca="false">IF(D497="","No","Yes")</f>
        <v>Yes</v>
      </c>
      <c r="F497" s="4" t="n">
        <f aca="false">IFERROR(VALUE(SUBSTITUTE(SUBSTITUTE(SUBSTITUTE(Orders_Raw!G497,"$",""),"NGN",""),",","")),"")</f>
        <v>1836.36</v>
      </c>
      <c r="G497" s="4" t="str">
        <f aca="false">IF(F497="","No","Yes")</f>
        <v>Yes</v>
      </c>
      <c r="H497" s="4" t="str">
        <f aca="false">Orders_Raw!F497</f>
        <v>5</v>
      </c>
      <c r="I497" s="4" t="str">
        <f aca="false">IF(H497="","No",IF(H497&lt;=0,"No","Yes"))</f>
        <v>Yes</v>
      </c>
      <c r="J497" s="4" t="str">
        <f aca="false">Orders_Raw!E497</f>
        <v>Headphones</v>
      </c>
      <c r="K497" s="4" t="str">
        <f aca="false">Orders_Raw!H497</f>
        <v>2026-03-30 08:22</v>
      </c>
      <c r="L497" s="4" t="str">
        <f aca="false">IF(COUNTIF(Orders_Raw!$A$5:$A$539,A497)&gt;1,"YES","No")</f>
        <v>No</v>
      </c>
      <c r="M497" s="4" t="str">
        <f aca="false">IF(COUNTIFS($B$5:$B$539,B497,$D$5:$D$539,D497,$F$5:$F$539,F497)&gt;1,"YES","No")</f>
        <v>No</v>
      </c>
      <c r="N497" s="4" t="str">
        <f aca="false">IFERROR(INDEX(Customer_Master!$B$5:$B$64,MATCH(B497,Customer_Master!$A$5:$A$64,0)),"UNMATCHED")</f>
        <v>Tunde Ajayi</v>
      </c>
      <c r="O497" s="4" t="str">
        <f aca="false">IFERROR(INDEX(Customer_Master!$C$5:$C$64,MATCH(B497,Customer_Master!$A$5:$A$64,0)),"UNMATCHED")</f>
        <v>Loyal</v>
      </c>
      <c r="P497" s="4" t="str">
        <f aca="false">IFERROR(INDEX(Customer_Master!$D$5:$D$64,MATCH(B497,Customer_Master!$A$5:$A$64,0)),"UNMATCHED")</f>
        <v>Abuja</v>
      </c>
      <c r="Q497" s="4" t="str">
        <f aca="false">IF(N497="UNMATCHED","Unmatched","Matched")</f>
        <v>Matched</v>
      </c>
      <c r="R497" s="4" t="str">
        <f aca="false">IF(OR(E497="No",G497="No",I497="No",L497="YES",Q497="Unmatched"),"NEEDS REVIEW","OK")</f>
        <v>OK</v>
      </c>
    </row>
    <row r="498" customFormat="false" ht="15" hidden="false" customHeight="false" outlineLevel="0" collapsed="false">
      <c r="A498" s="4" t="str">
        <f aca="false">Orders_Raw!A498</f>
        <v>ORD00286</v>
      </c>
      <c r="B498" s="4" t="str">
        <f aca="false">TRIM(UPPER(Orders_Raw!B498))</f>
        <v>CUST0020</v>
      </c>
      <c r="C498" s="4" t="str">
        <f aca="false">PROPER(TRIM(Orders_Raw!C498))</f>
        <v>Mary Okafor</v>
      </c>
      <c r="D498" s="6" t="n">
        <f aca="false">IFERROR(DATEVALUE(Orders_Raw!D498),"")</f>
        <v>46221</v>
      </c>
      <c r="E498" s="4" t="str">
        <f aca="false">IF(D498="","No","Yes")</f>
        <v>Yes</v>
      </c>
      <c r="F498" s="4" t="n">
        <f aca="false">IFERROR(VALUE(SUBSTITUTE(SUBSTITUTE(SUBSTITUTE(Orders_Raw!G498,"$",""),"NGN",""),",","")),"")</f>
        <v>684.51</v>
      </c>
      <c r="G498" s="4" t="str">
        <f aca="false">IF(F498="","No","Yes")</f>
        <v>Yes</v>
      </c>
      <c r="H498" s="4" t="str">
        <f aca="false">Orders_Raw!F498</f>
        <v>3</v>
      </c>
      <c r="I498" s="4" t="str">
        <f aca="false">IF(H498="","No",IF(H498&lt;=0,"No","Yes"))</f>
        <v>Yes</v>
      </c>
      <c r="J498" s="4" t="str">
        <f aca="false">Orders_Raw!E498</f>
        <v>Charger</v>
      </c>
      <c r="K498" s="4" t="str">
        <f aca="false">Orders_Raw!H498</f>
        <v>2026-07-18 14:47</v>
      </c>
      <c r="L498" s="4" t="str">
        <f aca="false">IF(COUNTIF(Orders_Raw!$A$5:$A$539,A498)&gt;1,"YES","No")</f>
        <v>No</v>
      </c>
      <c r="M498" s="4" t="str">
        <f aca="false">IF(COUNTIFS($B$5:$B$539,B498,$D$5:$D$539,D498,$F$5:$F$539,F498)&gt;1,"YES","No")</f>
        <v>No</v>
      </c>
      <c r="N498" s="4" t="str">
        <f aca="false">IFERROR(INDEX(Customer_Master!$B$5:$B$64,MATCH(B498,Customer_Master!$A$5:$A$64,0)),"UNMATCHED")</f>
        <v>Mary Okafor</v>
      </c>
      <c r="O498" s="4" t="str">
        <f aca="false">IFERROR(INDEX(Customer_Master!$C$5:$C$64,MATCH(B498,Customer_Master!$A$5:$A$64,0)),"UNMATCHED")</f>
        <v>New</v>
      </c>
      <c r="P498" s="4" t="str">
        <f aca="false">IFERROR(INDEX(Customer_Master!$D$5:$D$64,MATCH(B498,Customer_Master!$A$5:$A$64,0)),"UNMATCHED")</f>
        <v>Port Harcourt</v>
      </c>
      <c r="Q498" s="4" t="str">
        <f aca="false">IF(N498="UNMATCHED","Unmatched","Matched")</f>
        <v>Matched</v>
      </c>
      <c r="R498" s="4" t="str">
        <f aca="false">IF(OR(E498="No",G498="No",I498="No",L498="YES",Q498="Unmatched"),"NEEDS REVIEW","OK")</f>
        <v>OK</v>
      </c>
    </row>
    <row r="499" customFormat="false" ht="15" hidden="false" customHeight="false" outlineLevel="0" collapsed="false">
      <c r="A499" s="4" t="str">
        <f aca="false">Orders_Raw!A499</f>
        <v>ORD00003</v>
      </c>
      <c r="B499" s="4" t="str">
        <f aca="false">TRIM(UPPER(Orders_Raw!B499))</f>
        <v>CUST0001</v>
      </c>
      <c r="C499" s="4" t="str">
        <f aca="false">PROPER(TRIM(Orders_Raw!C499))</f>
        <v>Ola Lawal</v>
      </c>
      <c r="D499" s="6" t="str">
        <f aca="false">IFERROR(DATEVALUE(Orders_Raw!D499),"")</f>
        <v/>
      </c>
      <c r="E499" s="4" t="str">
        <f aca="false">IF(D499="","No","Yes")</f>
        <v>No</v>
      </c>
      <c r="F499" s="4" t="n">
        <f aca="false">IFERROR(VALUE(SUBSTITUTE(SUBSTITUTE(SUBSTITUTE(Orders_Raw!G499,"$",""),"NGN",""),",","")),"")</f>
        <v>723.84</v>
      </c>
      <c r="G499" s="4" t="str">
        <f aca="false">IF(F499="","No","Yes")</f>
        <v>Yes</v>
      </c>
      <c r="H499" s="4" t="str">
        <f aca="false">Orders_Raw!F499</f>
        <v>4</v>
      </c>
      <c r="I499" s="4" t="str">
        <f aca="false">IF(H499="","No",IF(H499&lt;=0,"No","Yes"))</f>
        <v>Yes</v>
      </c>
      <c r="J499" s="4" t="str">
        <f aca="false">Orders_Raw!E499</f>
        <v>Mouse</v>
      </c>
      <c r="K499" s="4" t="str">
        <f aca="false">Orders_Raw!H499</f>
        <v>2026-07-20 11:03</v>
      </c>
      <c r="L499" s="4" t="str">
        <f aca="false">IF(COUNTIF(Orders_Raw!$A$5:$A$539,A499)&gt;1,"YES","No")</f>
        <v>No</v>
      </c>
      <c r="M499" s="4" t="str">
        <f aca="false">IF(COUNTIFS($B$5:$B$539,B499,$D$5:$D$539,D499,$F$5:$F$539,F499)&gt;1,"YES","No")</f>
        <v>No</v>
      </c>
      <c r="N499" s="4" t="str">
        <f aca="false">IFERROR(INDEX(Customer_Master!$B$5:$B$64,MATCH(B499,Customer_Master!$A$5:$A$64,0)),"UNMATCHED")</f>
        <v>Ola Lawal</v>
      </c>
      <c r="O499" s="4" t="str">
        <f aca="false">IFERROR(INDEX(Customer_Master!$C$5:$C$64,MATCH(B499,Customer_Master!$A$5:$A$64,0)),"UNMATCHED")</f>
        <v>Champions</v>
      </c>
      <c r="P499" s="4" t="str">
        <f aca="false">IFERROR(INDEX(Customer_Master!$D$5:$D$64,MATCH(B499,Customer_Master!$A$5:$A$64,0)),"UNMATCHED")</f>
        <v>Ibadan</v>
      </c>
      <c r="Q499" s="4" t="str">
        <f aca="false">IF(N499="UNMATCHED","Unmatched","Matched")</f>
        <v>Matched</v>
      </c>
      <c r="R499" s="4" t="str">
        <f aca="false">IF(OR(E499="No",G499="No",I499="No",L499="YES",Q499="Unmatched"),"NEEDS REVIEW","OK")</f>
        <v>NEEDS REVIEW</v>
      </c>
    </row>
    <row r="500" customFormat="false" ht="15" hidden="false" customHeight="false" outlineLevel="0" collapsed="false">
      <c r="A500" s="4" t="str">
        <f aca="false">Orders_Raw!A500</f>
        <v>ORD00215</v>
      </c>
      <c r="B500" s="4" t="str">
        <f aca="false">TRIM(UPPER(Orders_Raw!B500))</f>
        <v>CUST0044</v>
      </c>
      <c r="C500" s="4" t="str">
        <f aca="false">PROPER(TRIM(Orders_Raw!C500))</f>
        <v>Emeka Yakubu</v>
      </c>
      <c r="D500" s="6" t="n">
        <f aca="false">IFERROR(DATEVALUE(Orders_Raw!D500),"")</f>
        <v>46180</v>
      </c>
      <c r="E500" s="4" t="str">
        <f aca="false">IF(D500="","No","Yes")</f>
        <v>Yes</v>
      </c>
      <c r="F500" s="4" t="n">
        <f aca="false">IFERROR(VALUE(SUBSTITUTE(SUBSTITUTE(SUBSTITUTE(Orders_Raw!G500,"$",""),"NGN",""),",","")),"")</f>
        <v>225.61</v>
      </c>
      <c r="G500" s="4" t="str">
        <f aca="false">IF(F500="","No","Yes")</f>
        <v>Yes</v>
      </c>
      <c r="H500" s="4" t="str">
        <f aca="false">Orders_Raw!F500</f>
        <v>2</v>
      </c>
      <c r="I500" s="4" t="str">
        <f aca="false">IF(H500="","No",IF(H500&lt;=0,"No","Yes"))</f>
        <v>Yes</v>
      </c>
      <c r="J500" s="4" t="str">
        <f aca="false">Orders_Raw!E500</f>
        <v>Headphones</v>
      </c>
      <c r="K500" s="4" t="str">
        <f aca="false">Orders_Raw!H500</f>
        <v>2026-06-07 13:44</v>
      </c>
      <c r="L500" s="4" t="str">
        <f aca="false">IF(COUNTIF(Orders_Raw!$A$5:$A$539,A500)&gt;1,"YES","No")</f>
        <v>No</v>
      </c>
      <c r="M500" s="4" t="str">
        <f aca="false">IF(COUNTIFS($B$5:$B$539,B500,$D$5:$D$539,D500,$F$5:$F$539,F500)&gt;1,"YES","No")</f>
        <v>No</v>
      </c>
      <c r="N500" s="4" t="str">
        <f aca="false">IFERROR(INDEX(Customer_Master!$B$5:$B$64,MATCH(B500,Customer_Master!$A$5:$A$64,0)),"UNMATCHED")</f>
        <v>Emeka Yakubu</v>
      </c>
      <c r="O500" s="4" t="str">
        <f aca="false">IFERROR(INDEX(Customer_Master!$C$5:$C$64,MATCH(B500,Customer_Master!$A$5:$A$64,0)),"UNMATCHED")</f>
        <v>Champions</v>
      </c>
      <c r="P500" s="4" t="str">
        <f aca="false">IFERROR(INDEX(Customer_Master!$D$5:$D$64,MATCH(B500,Customer_Master!$A$5:$A$64,0)),"UNMATCHED")</f>
        <v>Port Harcourt</v>
      </c>
      <c r="Q500" s="4" t="str">
        <f aca="false">IF(N500="UNMATCHED","Unmatched","Matched")</f>
        <v>Matched</v>
      </c>
      <c r="R500" s="4" t="str">
        <f aca="false">IF(OR(E500="No",G500="No",I500="No",L500="YES",Q500="Unmatched"),"NEEDS REVIEW","OK")</f>
        <v>OK</v>
      </c>
    </row>
    <row r="501" customFormat="false" ht="15" hidden="false" customHeight="false" outlineLevel="0" collapsed="false">
      <c r="A501" s="4" t="str">
        <f aca="false">Orders_Raw!A501</f>
        <v>ORD00512</v>
      </c>
      <c r="B501" s="4" t="str">
        <f aca="false">TRIM(UPPER(Orders_Raw!B501))</f>
        <v>CUSTO041</v>
      </c>
      <c r="C501" s="4" t="str">
        <f aca="false">PROPER(TRIM(Orders_Raw!C501))</f>
        <v>Kemi Umeh</v>
      </c>
      <c r="D501" s="6" t="n">
        <f aca="false">IFERROR(DATEVALUE(Orders_Raw!D501),"")</f>
        <v>46091</v>
      </c>
      <c r="E501" s="4" t="str">
        <f aca="false">IF(D501="","No","Yes")</f>
        <v>Yes</v>
      </c>
      <c r="F501" s="4" t="n">
        <f aca="false">IFERROR(VALUE(SUBSTITUTE(SUBSTITUTE(SUBSTITUTE(Orders_Raw!G501,"$",""),"NGN",""),",","")),"")</f>
        <v>1754.64</v>
      </c>
      <c r="G501" s="4" t="str">
        <f aca="false">IF(F501="","No","Yes")</f>
        <v>Yes</v>
      </c>
      <c r="H501" s="4" t="n">
        <f aca="false">Orders_Raw!F501</f>
        <v>0</v>
      </c>
      <c r="I501" s="4" t="str">
        <f aca="false">IF(H501="","No",IF(H501&lt;=0,"No","Yes"))</f>
        <v>No</v>
      </c>
      <c r="J501" s="4" t="str">
        <f aca="false">Orders_Raw!E501</f>
        <v>Printer</v>
      </c>
      <c r="K501" s="4" t="str">
        <f aca="false">Orders_Raw!H501</f>
        <v>2026-03-10 15:27</v>
      </c>
      <c r="L501" s="4" t="str">
        <f aca="false">IF(COUNTIF(Orders_Raw!$A$5:$A$539,A501)&gt;1,"YES","No")</f>
        <v>No</v>
      </c>
      <c r="M501" s="4" t="str">
        <f aca="false">IF(COUNTIFS($B$5:$B$539,B501,$D$5:$D$539,D501,$F$5:$F$539,F501)&gt;1,"YES","No")</f>
        <v>No</v>
      </c>
      <c r="N501" s="4" t="str">
        <f aca="false">IFERROR(INDEX(Customer_Master!$B$5:$B$64,MATCH(B501,Customer_Master!$A$5:$A$64,0)),"UNMATCHED")</f>
        <v>UNMATCHED</v>
      </c>
      <c r="O501" s="4" t="str">
        <f aca="false">IFERROR(INDEX(Customer_Master!$C$5:$C$64,MATCH(B501,Customer_Master!$A$5:$A$64,0)),"UNMATCHED")</f>
        <v>UNMATCHED</v>
      </c>
      <c r="P501" s="4" t="str">
        <f aca="false">IFERROR(INDEX(Customer_Master!$D$5:$D$64,MATCH(B501,Customer_Master!$A$5:$A$64,0)),"UNMATCHED")</f>
        <v>UNMATCHED</v>
      </c>
      <c r="Q501" s="4" t="str">
        <f aca="false">IF(N501="UNMATCHED","Unmatched","Matched")</f>
        <v>Unmatched</v>
      </c>
      <c r="R501" s="4" t="str">
        <f aca="false">IF(OR(E501="No",G501="No",I501="No",L501="YES",Q501="Unmatched"),"NEEDS REVIEW","OK")</f>
        <v>NEEDS REVIEW</v>
      </c>
    </row>
    <row r="502" customFormat="false" ht="15" hidden="false" customHeight="false" outlineLevel="0" collapsed="false">
      <c r="A502" s="4" t="str">
        <f aca="false">Orders_Raw!A502</f>
        <v>ORD00155</v>
      </c>
      <c r="B502" s="4" t="str">
        <f aca="false">TRIM(UPPER(Orders_Raw!B502))</f>
        <v>CUST0037</v>
      </c>
      <c r="C502" s="4" t="str">
        <f aca="false">PROPER(TRIM(Orders_Raw!C502))</f>
        <v>Blessing Obi</v>
      </c>
      <c r="D502" s="6" t="n">
        <f aca="false">IFERROR(DATEVALUE(Orders_Raw!D502),"")</f>
        <v>46124</v>
      </c>
      <c r="E502" s="4" t="str">
        <f aca="false">IF(D502="","No","Yes")</f>
        <v>Yes</v>
      </c>
      <c r="F502" s="4" t="n">
        <f aca="false">IFERROR(VALUE(SUBSTITUTE(SUBSTITUTE(SUBSTITUTE(Orders_Raw!G502,"$",""),"NGN",""),",","")),"")</f>
        <v>2387.2</v>
      </c>
      <c r="G502" s="4" t="str">
        <f aca="false">IF(F502="","No","Yes")</f>
        <v>Yes</v>
      </c>
      <c r="H502" s="4" t="str">
        <f aca="false">Orders_Raw!F502</f>
        <v>2</v>
      </c>
      <c r="I502" s="4" t="str">
        <f aca="false">IF(H502="","No",IF(H502&lt;=0,"No","Yes"))</f>
        <v>Yes</v>
      </c>
      <c r="J502" s="4" t="str">
        <f aca="false">Orders_Raw!E502</f>
        <v>Phone</v>
      </c>
      <c r="K502" s="4" t="str">
        <f aca="false">Orders_Raw!H502</f>
        <v>2026-04-12 13:59</v>
      </c>
      <c r="L502" s="4" t="str">
        <f aca="false">IF(COUNTIF(Orders_Raw!$A$5:$A$539,A502)&gt;1,"YES","No")</f>
        <v>No</v>
      </c>
      <c r="M502" s="4" t="str">
        <f aca="false">IF(COUNTIFS($B$5:$B$539,B502,$D$5:$D$539,D502,$F$5:$F$539,F502)&gt;1,"YES","No")</f>
        <v>No</v>
      </c>
      <c r="N502" s="4" t="str">
        <f aca="false">IFERROR(INDEX(Customer_Master!$B$5:$B$64,MATCH(B502,Customer_Master!$A$5:$A$64,0)),"UNMATCHED")</f>
        <v>Blessing Obi</v>
      </c>
      <c r="O502" s="4" t="str">
        <f aca="false">IFERROR(INDEX(Customer_Master!$C$5:$C$64,MATCH(B502,Customer_Master!$A$5:$A$64,0)),"UNMATCHED")</f>
        <v>Lost / Low-Value</v>
      </c>
      <c r="P502" s="4" t="str">
        <f aca="false">IFERROR(INDEX(Customer_Master!$D$5:$D$64,MATCH(B502,Customer_Master!$A$5:$A$64,0)),"UNMATCHED")</f>
        <v>Lagos</v>
      </c>
      <c r="Q502" s="4" t="str">
        <f aca="false">IF(N502="UNMATCHED","Unmatched","Matched")</f>
        <v>Matched</v>
      </c>
      <c r="R502" s="4" t="str">
        <f aca="false">IF(OR(E502="No",G502="No",I502="No",L502="YES",Q502="Unmatched"),"NEEDS REVIEW","OK")</f>
        <v>OK</v>
      </c>
    </row>
    <row r="503" customFormat="false" ht="15" hidden="false" customHeight="false" outlineLevel="0" collapsed="false">
      <c r="A503" s="4" t="str">
        <f aca="false">Orders_Raw!A503</f>
        <v>ORD00401</v>
      </c>
      <c r="B503" s="4" t="str">
        <f aca="false">TRIM(UPPER(Orders_Raw!B503))</f>
        <v>CUST0041</v>
      </c>
      <c r="C503" s="4" t="str">
        <f aca="false">PROPER(TRIM(Orders_Raw!C503))</f>
        <v>Kemi Umeh</v>
      </c>
      <c r="D503" s="6" t="str">
        <f aca="false">IFERROR(DATEVALUE(Orders_Raw!D503),"")</f>
        <v/>
      </c>
      <c r="E503" s="4" t="str">
        <f aca="false">IF(D503="","No","Yes")</f>
        <v>No</v>
      </c>
      <c r="F503" s="4" t="n">
        <f aca="false">IFERROR(VALUE(SUBSTITUTE(SUBSTITUTE(SUBSTITUTE(Orders_Raw!G503,"$",""),"NGN",""),",","")),"")</f>
        <v>1356.08</v>
      </c>
      <c r="G503" s="4" t="str">
        <f aca="false">IF(F503="","No","Yes")</f>
        <v>Yes</v>
      </c>
      <c r="H503" s="4" t="str">
        <f aca="false">Orders_Raw!F503</f>
        <v>2</v>
      </c>
      <c r="I503" s="4" t="str">
        <f aca="false">IF(H503="","No",IF(H503&lt;=0,"No","Yes"))</f>
        <v>Yes</v>
      </c>
      <c r="J503" s="4" t="str">
        <f aca="false">Orders_Raw!E503</f>
        <v>Headphones</v>
      </c>
      <c r="K503" s="4" t="str">
        <f aca="false">Orders_Raw!H503</f>
        <v>2026-03-30 12:00</v>
      </c>
      <c r="L503" s="4" t="str">
        <f aca="false">IF(COUNTIF(Orders_Raw!$A$5:$A$539,A503)&gt;1,"YES","No")</f>
        <v>No</v>
      </c>
      <c r="M503" s="4" t="str">
        <f aca="false">IF(COUNTIFS($B$5:$B$539,B503,$D$5:$D$539,D503,$F$5:$F$539,F503)&gt;1,"YES","No")</f>
        <v>No</v>
      </c>
      <c r="N503" s="4" t="str">
        <f aca="false">IFERROR(INDEX(Customer_Master!$B$5:$B$64,MATCH(B503,Customer_Master!$A$5:$A$64,0)),"UNMATCHED")</f>
        <v>Kemi Umeh</v>
      </c>
      <c r="O503" s="4" t="str">
        <f aca="false">IFERROR(INDEX(Customer_Master!$C$5:$C$64,MATCH(B503,Customer_Master!$A$5:$A$64,0)),"UNMATCHED")</f>
        <v>Lost / Low-Value</v>
      </c>
      <c r="P503" s="4" t="str">
        <f aca="false">IFERROR(INDEX(Customer_Master!$D$5:$D$64,MATCH(B503,Customer_Master!$A$5:$A$64,0)),"UNMATCHED")</f>
        <v>Lagos</v>
      </c>
      <c r="Q503" s="4" t="str">
        <f aca="false">IF(N503="UNMATCHED","Unmatched","Matched")</f>
        <v>Matched</v>
      </c>
      <c r="R503" s="4" t="str">
        <f aca="false">IF(OR(E503="No",G503="No",I503="No",L503="YES",Q503="Unmatched"),"NEEDS REVIEW","OK")</f>
        <v>NEEDS REVIEW</v>
      </c>
    </row>
    <row r="504" customFormat="false" ht="15" hidden="false" customHeight="false" outlineLevel="0" collapsed="false">
      <c r="A504" s="4" t="str">
        <f aca="false">Orders_Raw!A504</f>
        <v>ORD00424</v>
      </c>
      <c r="B504" s="4" t="str">
        <f aca="false">TRIM(UPPER(Orders_Raw!B504))</f>
        <v>CUST0043</v>
      </c>
      <c r="C504" s="4" t="str">
        <f aca="false">PROPER(TRIM(Orders_Raw!C504))</f>
        <v>Grace Ajayi</v>
      </c>
      <c r="D504" s="6" t="n">
        <f aca="false">IFERROR(DATEVALUE(Orders_Raw!D504),"")</f>
        <v>46136</v>
      </c>
      <c r="E504" s="4" t="str">
        <f aca="false">IF(D504="","No","Yes")</f>
        <v>Yes</v>
      </c>
      <c r="F504" s="4" t="n">
        <f aca="false">IFERROR(VALUE(SUBSTITUTE(SUBSTITUTE(SUBSTITUTE(Orders_Raw!G504,"$",""),"NGN",""),",","")),"")</f>
        <v>2257.68</v>
      </c>
      <c r="G504" s="4" t="str">
        <f aca="false">IF(F504="","No","Yes")</f>
        <v>Yes</v>
      </c>
      <c r="H504" s="4" t="str">
        <f aca="false">Orders_Raw!F504</f>
        <v>2</v>
      </c>
      <c r="I504" s="4" t="str">
        <f aca="false">IF(H504="","No",IF(H504&lt;=0,"No","Yes"))</f>
        <v>Yes</v>
      </c>
      <c r="J504" s="4" t="str">
        <f aca="false">Orders_Raw!E504</f>
        <v>Monitor</v>
      </c>
      <c r="K504" s="4" t="str">
        <f aca="false">Orders_Raw!H504</f>
        <v>2026-04-24 13:38</v>
      </c>
      <c r="L504" s="4" t="str">
        <f aca="false">IF(COUNTIF(Orders_Raw!$A$5:$A$539,A504)&gt;1,"YES","No")</f>
        <v>No</v>
      </c>
      <c r="M504" s="4" t="str">
        <f aca="false">IF(COUNTIFS($B$5:$B$539,B504,$D$5:$D$539,D504,$F$5:$F$539,F504)&gt;1,"YES","No")</f>
        <v>No</v>
      </c>
      <c r="N504" s="4" t="str">
        <f aca="false">IFERROR(INDEX(Customer_Master!$B$5:$B$64,MATCH(B504,Customer_Master!$A$5:$A$64,0)),"UNMATCHED")</f>
        <v>Grace Ajayi</v>
      </c>
      <c r="O504" s="4" t="str">
        <f aca="false">IFERROR(INDEX(Customer_Master!$C$5:$C$64,MATCH(B504,Customer_Master!$A$5:$A$64,0)),"UNMATCHED")</f>
        <v>New</v>
      </c>
      <c r="P504" s="4" t="str">
        <f aca="false">IFERROR(INDEX(Customer_Master!$D$5:$D$64,MATCH(B504,Customer_Master!$A$5:$A$64,0)),"UNMATCHED")</f>
        <v>Abuja</v>
      </c>
      <c r="Q504" s="4" t="str">
        <f aca="false">IF(N504="UNMATCHED","Unmatched","Matched")</f>
        <v>Matched</v>
      </c>
      <c r="R504" s="4" t="str">
        <f aca="false">IF(OR(E504="No",G504="No",I504="No",L504="YES",Q504="Unmatched"),"NEEDS REVIEW","OK")</f>
        <v>OK</v>
      </c>
    </row>
    <row r="505" customFormat="false" ht="15" hidden="false" customHeight="false" outlineLevel="0" collapsed="false">
      <c r="A505" s="4" t="str">
        <f aca="false">Orders_Raw!A505</f>
        <v>ORD00322</v>
      </c>
      <c r="B505" s="4" t="str">
        <f aca="false">TRIM(UPPER(Orders_Raw!B505))</f>
        <v>CUST0049</v>
      </c>
      <c r="C505" s="4" t="str">
        <f aca="false">PROPER(TRIM(Orders_Raw!C505))</f>
        <v>Bisi Ajayi</v>
      </c>
      <c r="D505" s="6" t="n">
        <f aca="false">IFERROR(DATEVALUE(Orders_Raw!D505),"")</f>
        <v>46110</v>
      </c>
      <c r="E505" s="4" t="str">
        <f aca="false">IF(D505="","No","Yes")</f>
        <v>Yes</v>
      </c>
      <c r="F505" s="4" t="n">
        <f aca="false">IFERROR(VALUE(SUBSTITUTE(SUBSTITUTE(SUBSTITUTE(Orders_Raw!G505,"$",""),"NGN",""),",","")),"")</f>
        <v>2077.26</v>
      </c>
      <c r="G505" s="4" t="str">
        <f aca="false">IF(F505="","No","Yes")</f>
        <v>Yes</v>
      </c>
      <c r="H505" s="4" t="str">
        <f aca="false">Orders_Raw!F505</f>
        <v>3</v>
      </c>
      <c r="I505" s="4" t="str">
        <f aca="false">IF(H505="","No",IF(H505&lt;=0,"No","Yes"))</f>
        <v>Yes</v>
      </c>
      <c r="J505" s="4" t="str">
        <f aca="false">Orders_Raw!E505</f>
        <v>Laptop</v>
      </c>
      <c r="K505" s="4" t="str">
        <f aca="false">Orders_Raw!H505</f>
        <v>2026-03-29 10:31</v>
      </c>
      <c r="L505" s="4" t="str">
        <f aca="false">IF(COUNTIF(Orders_Raw!$A$5:$A$539,A505)&gt;1,"YES","No")</f>
        <v>No</v>
      </c>
      <c r="M505" s="4" t="str">
        <f aca="false">IF(COUNTIFS($B$5:$B$539,B505,$D$5:$D$539,D505,$F$5:$F$539,F505)&gt;1,"YES","No")</f>
        <v>No</v>
      </c>
      <c r="N505" s="4" t="str">
        <f aca="false">IFERROR(INDEX(Customer_Master!$B$5:$B$64,MATCH(B505,Customer_Master!$A$5:$A$64,0)),"UNMATCHED")</f>
        <v>Bisi Ajayi</v>
      </c>
      <c r="O505" s="4" t="str">
        <f aca="false">IFERROR(INDEX(Customer_Master!$C$5:$C$64,MATCH(B505,Customer_Master!$A$5:$A$64,0)),"UNMATCHED")</f>
        <v>Loyal</v>
      </c>
      <c r="P505" s="4" t="str">
        <f aca="false">IFERROR(INDEX(Customer_Master!$D$5:$D$64,MATCH(B505,Customer_Master!$A$5:$A$64,0)),"UNMATCHED")</f>
        <v>Abuja</v>
      </c>
      <c r="Q505" s="4" t="str">
        <f aca="false">IF(N505="UNMATCHED","Unmatched","Matched")</f>
        <v>Matched</v>
      </c>
      <c r="R505" s="4" t="str">
        <f aca="false">IF(OR(E505="No",G505="No",I505="No",L505="YES",Q505="Unmatched"),"NEEDS REVIEW","OK")</f>
        <v>OK</v>
      </c>
    </row>
    <row r="506" customFormat="false" ht="15" hidden="false" customHeight="false" outlineLevel="0" collapsed="false">
      <c r="A506" s="4" t="str">
        <f aca="false">Orders_Raw!A506</f>
        <v>ORD00046</v>
      </c>
      <c r="B506" s="4" t="str">
        <f aca="false">TRIM(UPPER(Orders_Raw!B506))</f>
        <v>CUST0031</v>
      </c>
      <c r="C506" s="4" t="str">
        <f aca="false">PROPER(TRIM(Orders_Raw!C506))</f>
        <v>Emeka Adeyemi</v>
      </c>
      <c r="D506" s="6" t="str">
        <f aca="false">IFERROR(DATEVALUE(Orders_Raw!D506),"")</f>
        <v/>
      </c>
      <c r="E506" s="4" t="str">
        <f aca="false">IF(D506="","No","Yes")</f>
        <v>No</v>
      </c>
      <c r="F506" s="4" t="n">
        <f aca="false">IFERROR(VALUE(SUBSTITUTE(SUBSTITUTE(SUBSTITUTE(Orders_Raw!G506,"$",""),"NGN",""),",","")),"")</f>
        <v>642.41</v>
      </c>
      <c r="G506" s="4" t="str">
        <f aca="false">IF(F506="","No","Yes")</f>
        <v>Yes</v>
      </c>
      <c r="H506" s="4" t="str">
        <f aca="false">Orders_Raw!F506</f>
        <v>1</v>
      </c>
      <c r="I506" s="4" t="str">
        <f aca="false">IF(H506="","No",IF(H506&lt;=0,"No","Yes"))</f>
        <v>Yes</v>
      </c>
      <c r="J506" s="4" t="str">
        <f aca="false">Orders_Raw!E506</f>
        <v>Phone</v>
      </c>
      <c r="K506" s="4" t="str">
        <f aca="false">Orders_Raw!H506</f>
        <v>2026-02-17 17:40</v>
      </c>
      <c r="L506" s="4" t="str">
        <f aca="false">IF(COUNTIF(Orders_Raw!$A$5:$A$539,A506)&gt;1,"YES","No")</f>
        <v>No</v>
      </c>
      <c r="M506" s="4" t="str">
        <f aca="false">IF(COUNTIFS($B$5:$B$539,B506,$D$5:$D$539,D506,$F$5:$F$539,F506)&gt;1,"YES","No")</f>
        <v>No</v>
      </c>
      <c r="N506" s="4" t="str">
        <f aca="false">IFERROR(INDEX(Customer_Master!$B$5:$B$64,MATCH(B506,Customer_Master!$A$5:$A$64,0)),"UNMATCHED")</f>
        <v>Emeka Adeyemi</v>
      </c>
      <c r="O506" s="4" t="str">
        <f aca="false">IFERROR(INDEX(Customer_Master!$C$5:$C$64,MATCH(B506,Customer_Master!$A$5:$A$64,0)),"UNMATCHED")</f>
        <v>Champions</v>
      </c>
      <c r="P506" s="4" t="str">
        <f aca="false">IFERROR(INDEX(Customer_Master!$D$5:$D$64,MATCH(B506,Customer_Master!$A$5:$A$64,0)),"UNMATCHED")</f>
        <v>Port Harcourt</v>
      </c>
      <c r="Q506" s="4" t="str">
        <f aca="false">IF(N506="UNMATCHED","Unmatched","Matched")</f>
        <v>Matched</v>
      </c>
      <c r="R506" s="4" t="str">
        <f aca="false">IF(OR(E506="No",G506="No",I506="No",L506="YES",Q506="Unmatched"),"NEEDS REVIEW","OK")</f>
        <v>NEEDS REVIEW</v>
      </c>
    </row>
    <row r="507" customFormat="false" ht="15" hidden="false" customHeight="false" outlineLevel="0" collapsed="false">
      <c r="A507" s="4" t="str">
        <f aca="false">Orders_Raw!A507</f>
        <v>ORD00487</v>
      </c>
      <c r="B507" s="4" t="str">
        <f aca="false">TRIM(UPPER(Orders_Raw!B507))</f>
        <v>CUST0029</v>
      </c>
      <c r="C507" s="4" t="str">
        <f aca="false">PROPER(TRIM(Orders_Raw!C507))</f>
        <v>James Uche</v>
      </c>
      <c r="D507" s="6" t="n">
        <f aca="false">IFERROR(DATEVALUE(Orders_Raw!D507),"")</f>
        <v>46180</v>
      </c>
      <c r="E507" s="4" t="str">
        <f aca="false">IF(D507="","No","Yes")</f>
        <v>Yes</v>
      </c>
      <c r="F507" s="4" t="n">
        <f aca="false">IFERROR(VALUE(SUBSTITUTE(SUBSTITUTE(SUBSTITUTE(Orders_Raw!G507,"$",""),"NGN",""),",","")),"")</f>
        <v>1126.19</v>
      </c>
      <c r="G507" s="4" t="str">
        <f aca="false">IF(F507="","No","Yes")</f>
        <v>Yes</v>
      </c>
      <c r="H507" s="4" t="str">
        <f aca="false">Orders_Raw!F507</f>
        <v>4</v>
      </c>
      <c r="I507" s="4" t="str">
        <f aca="false">IF(H507="","No",IF(H507&lt;=0,"No","Yes"))</f>
        <v>Yes</v>
      </c>
      <c r="J507" s="4" t="str">
        <f aca="false">Orders_Raw!E507</f>
        <v>Mouse</v>
      </c>
      <c r="K507" s="4" t="str">
        <f aca="false">Orders_Raw!H507</f>
        <v>2026-06-07 14:45</v>
      </c>
      <c r="L507" s="4" t="str">
        <f aca="false">IF(COUNTIF(Orders_Raw!$A$5:$A$539,A507)&gt;1,"YES","No")</f>
        <v>No</v>
      </c>
      <c r="M507" s="4" t="str">
        <f aca="false">IF(COUNTIFS($B$5:$B$539,B507,$D$5:$D$539,D507,$F$5:$F$539,F507)&gt;1,"YES","No")</f>
        <v>No</v>
      </c>
      <c r="N507" s="4" t="str">
        <f aca="false">IFERROR(INDEX(Customer_Master!$B$5:$B$64,MATCH(B507,Customer_Master!$A$5:$A$64,0)),"UNMATCHED")</f>
        <v>James Uche</v>
      </c>
      <c r="O507" s="4" t="str">
        <f aca="false">IFERROR(INDEX(Customer_Master!$C$5:$C$64,MATCH(B507,Customer_Master!$A$5:$A$64,0)),"UNMATCHED")</f>
        <v>Lost / Low-Value</v>
      </c>
      <c r="P507" s="4" t="str">
        <f aca="false">IFERROR(INDEX(Customer_Master!$D$5:$D$64,MATCH(B507,Customer_Master!$A$5:$A$64,0)),"UNMATCHED")</f>
        <v>Enugu</v>
      </c>
      <c r="Q507" s="4" t="str">
        <f aca="false">IF(N507="UNMATCHED","Unmatched","Matched")</f>
        <v>Matched</v>
      </c>
      <c r="R507" s="4" t="str">
        <f aca="false">IF(OR(E507="No",G507="No",I507="No",L507="YES",Q507="Unmatched"),"NEEDS REVIEW","OK")</f>
        <v>OK</v>
      </c>
    </row>
    <row r="508" customFormat="false" ht="15" hidden="false" customHeight="false" outlineLevel="0" collapsed="false">
      <c r="A508" s="4" t="str">
        <f aca="false">Orders_Raw!A508</f>
        <v>ORD00314</v>
      </c>
      <c r="B508" s="4" t="str">
        <f aca="false">TRIM(UPPER(Orders_Raw!B508))</f>
        <v>CUST0045</v>
      </c>
      <c r="C508" s="4" t="str">
        <f aca="false">PROPER(TRIM(Orders_Raw!C508))</f>
        <v>Yusuf Yakubu</v>
      </c>
      <c r="D508" s="6" t="str">
        <f aca="false">IFERROR(DATEVALUE(Orders_Raw!D508),"")</f>
        <v/>
      </c>
      <c r="E508" s="4" t="str">
        <f aca="false">IF(D508="","No","Yes")</f>
        <v>No</v>
      </c>
      <c r="F508" s="4" t="n">
        <f aca="false">IFERROR(VALUE(SUBSTITUTE(SUBSTITUTE(SUBSTITUTE(Orders_Raw!G508,"$",""),"NGN",""),",","")),"")</f>
        <v>2279.4</v>
      </c>
      <c r="G508" s="4" t="str">
        <f aca="false">IF(F508="","No","Yes")</f>
        <v>Yes</v>
      </c>
      <c r="H508" s="4" t="str">
        <f aca="false">Orders_Raw!F508</f>
        <v>5</v>
      </c>
      <c r="I508" s="4" t="str">
        <f aca="false">IF(H508="","No",IF(H508&lt;=0,"No","Yes"))</f>
        <v>Yes</v>
      </c>
      <c r="J508" s="4" t="str">
        <f aca="false">Orders_Raw!E508</f>
        <v>Speaker</v>
      </c>
      <c r="K508" s="4" t="str">
        <f aca="false">Orders_Raw!H508</f>
        <v>2026-01-27 14:49</v>
      </c>
      <c r="L508" s="4" t="str">
        <f aca="false">IF(COUNTIF(Orders_Raw!$A$5:$A$539,A508)&gt;1,"YES","No")</f>
        <v>No</v>
      </c>
      <c r="M508" s="4" t="str">
        <f aca="false">IF(COUNTIFS($B$5:$B$539,B508,$D$5:$D$539,D508,$F$5:$F$539,F508)&gt;1,"YES","No")</f>
        <v>No</v>
      </c>
      <c r="N508" s="4" t="str">
        <f aca="false">IFERROR(INDEX(Customer_Master!$B$5:$B$64,MATCH(B508,Customer_Master!$A$5:$A$64,0)),"UNMATCHED")</f>
        <v>Yusuf Yakubu</v>
      </c>
      <c r="O508" s="4" t="str">
        <f aca="false">IFERROR(INDEX(Customer_Master!$C$5:$C$64,MATCH(B508,Customer_Master!$A$5:$A$64,0)),"UNMATCHED")</f>
        <v>New</v>
      </c>
      <c r="P508" s="4" t="str">
        <f aca="false">IFERROR(INDEX(Customer_Master!$D$5:$D$64,MATCH(B508,Customer_Master!$A$5:$A$64,0)),"UNMATCHED")</f>
        <v>Port Harcourt</v>
      </c>
      <c r="Q508" s="4" t="str">
        <f aca="false">IF(N508="UNMATCHED","Unmatched","Matched")</f>
        <v>Matched</v>
      </c>
      <c r="R508" s="4" t="str">
        <f aca="false">IF(OR(E508="No",G508="No",I508="No",L508="YES",Q508="Unmatched"),"NEEDS REVIEW","OK")</f>
        <v>NEEDS REVIEW</v>
      </c>
    </row>
    <row r="509" customFormat="false" ht="15" hidden="false" customHeight="false" outlineLevel="0" collapsed="false">
      <c r="A509" s="4" t="str">
        <f aca="false">Orders_Raw!A509</f>
        <v>ORD00256</v>
      </c>
      <c r="B509" s="4" t="str">
        <f aca="false">TRIM(UPPER(Orders_Raw!B509))</f>
        <v>CUST0053</v>
      </c>
      <c r="C509" s="4" t="str">
        <f aca="false">PROPER(TRIM(Orders_Raw!C509))</f>
        <v>Comfort Adeyemi</v>
      </c>
      <c r="D509" s="6" t="n">
        <f aca="false">IFERROR(DATEVALUE(Orders_Raw!D509),"")</f>
        <v>46172</v>
      </c>
      <c r="E509" s="4" t="str">
        <f aca="false">IF(D509="","No","Yes")</f>
        <v>Yes</v>
      </c>
      <c r="F509" s="4" t="n">
        <f aca="false">IFERROR(VALUE(SUBSTITUTE(SUBSTITUTE(SUBSTITUTE(Orders_Raw!G509,"$",""),"NGN",""),",","")),"")</f>
        <v>658.17</v>
      </c>
      <c r="G509" s="4" t="str">
        <f aca="false">IF(F509="","No","Yes")</f>
        <v>Yes</v>
      </c>
      <c r="H509" s="4" t="str">
        <f aca="false">Orders_Raw!F509</f>
        <v>1</v>
      </c>
      <c r="I509" s="4" t="str">
        <f aca="false">IF(H509="","No",IF(H509&lt;=0,"No","Yes"))</f>
        <v>Yes</v>
      </c>
      <c r="J509" s="4" t="str">
        <f aca="false">Orders_Raw!E509</f>
        <v>Printer</v>
      </c>
      <c r="K509" s="4" t="str">
        <f aca="false">Orders_Raw!H509</f>
        <v>2026-05-30 10:05</v>
      </c>
      <c r="L509" s="4" t="str">
        <f aca="false">IF(COUNTIF(Orders_Raw!$A$5:$A$539,A509)&gt;1,"YES","No")</f>
        <v>No</v>
      </c>
      <c r="M509" s="4" t="str">
        <f aca="false">IF(COUNTIFS($B$5:$B$539,B509,$D$5:$D$539,D509,$F$5:$F$539,F509)&gt;1,"YES","No")</f>
        <v>No</v>
      </c>
      <c r="N509" s="4" t="str">
        <f aca="false">IFERROR(INDEX(Customer_Master!$B$5:$B$64,MATCH(B509,Customer_Master!$A$5:$A$64,0)),"UNMATCHED")</f>
        <v>Comfort Adeyemi</v>
      </c>
      <c r="O509" s="4" t="str">
        <f aca="false">IFERROR(INDEX(Customer_Master!$C$5:$C$64,MATCH(B509,Customer_Master!$A$5:$A$64,0)),"UNMATCHED")</f>
        <v>At Risk</v>
      </c>
      <c r="P509" s="4" t="str">
        <f aca="false">IFERROR(INDEX(Customer_Master!$D$5:$D$64,MATCH(B509,Customer_Master!$A$5:$A$64,0)),"UNMATCHED")</f>
        <v>Abuja</v>
      </c>
      <c r="Q509" s="4" t="str">
        <f aca="false">IF(N509="UNMATCHED","Unmatched","Matched")</f>
        <v>Matched</v>
      </c>
      <c r="R509" s="4" t="str">
        <f aca="false">IF(OR(E509="No",G509="No",I509="No",L509="YES",Q509="Unmatched"),"NEEDS REVIEW","OK")</f>
        <v>OK</v>
      </c>
    </row>
    <row r="510" customFormat="false" ht="15" hidden="false" customHeight="false" outlineLevel="0" collapsed="false">
      <c r="A510" s="4" t="str">
        <f aca="false">Orders_Raw!A510</f>
        <v>ORD00368</v>
      </c>
      <c r="B510" s="4" t="str">
        <f aca="false">TRIM(UPPER(Orders_Raw!B510))</f>
        <v>CUST0053</v>
      </c>
      <c r="C510" s="4" t="str">
        <f aca="false">PROPER(TRIM(Orders_Raw!C510))</f>
        <v>Comfort Adeyemi</v>
      </c>
      <c r="D510" s="6" t="n">
        <f aca="false">IFERROR(DATEVALUE(Orders_Raw!D510),"")</f>
        <v>46130</v>
      </c>
      <c r="E510" s="4" t="str">
        <f aca="false">IF(D510="","No","Yes")</f>
        <v>Yes</v>
      </c>
      <c r="F510" s="4" t="n">
        <f aca="false">IFERROR(VALUE(SUBSTITUTE(SUBSTITUTE(SUBSTITUTE(Orders_Raw!G510,"$",""),"NGN",""),",","")),"")</f>
        <v>2188.94</v>
      </c>
      <c r="G510" s="4" t="str">
        <f aca="false">IF(F510="","No","Yes")</f>
        <v>Yes</v>
      </c>
      <c r="H510" s="4" t="str">
        <f aca="false">Orders_Raw!F510</f>
        <v>2</v>
      </c>
      <c r="I510" s="4" t="str">
        <f aca="false">IF(H510="","No",IF(H510&lt;=0,"No","Yes"))</f>
        <v>Yes</v>
      </c>
      <c r="J510" s="4" t="str">
        <f aca="false">Orders_Raw!E510</f>
        <v>Monitor</v>
      </c>
      <c r="K510" s="4" t="str">
        <f aca="false">Orders_Raw!H510</f>
        <v>2026-04-18 13:37</v>
      </c>
      <c r="L510" s="4" t="str">
        <f aca="false">IF(COUNTIF(Orders_Raw!$A$5:$A$539,A510)&gt;1,"YES","No")</f>
        <v>No</v>
      </c>
      <c r="M510" s="4" t="str">
        <f aca="false">IF(COUNTIFS($B$5:$B$539,B510,$D$5:$D$539,D510,$F$5:$F$539,F510)&gt;1,"YES","No")</f>
        <v>No</v>
      </c>
      <c r="N510" s="4" t="str">
        <f aca="false">IFERROR(INDEX(Customer_Master!$B$5:$B$64,MATCH(B510,Customer_Master!$A$5:$A$64,0)),"UNMATCHED")</f>
        <v>Comfort Adeyemi</v>
      </c>
      <c r="O510" s="4" t="str">
        <f aca="false">IFERROR(INDEX(Customer_Master!$C$5:$C$64,MATCH(B510,Customer_Master!$A$5:$A$64,0)),"UNMATCHED")</f>
        <v>At Risk</v>
      </c>
      <c r="P510" s="4" t="str">
        <f aca="false">IFERROR(INDEX(Customer_Master!$D$5:$D$64,MATCH(B510,Customer_Master!$A$5:$A$64,0)),"UNMATCHED")</f>
        <v>Abuja</v>
      </c>
      <c r="Q510" s="4" t="str">
        <f aca="false">IF(N510="UNMATCHED","Unmatched","Matched")</f>
        <v>Matched</v>
      </c>
      <c r="R510" s="4" t="str">
        <f aca="false">IF(OR(E510="No",G510="No",I510="No",L510="YES",Q510="Unmatched"),"NEEDS REVIEW","OK")</f>
        <v>OK</v>
      </c>
    </row>
    <row r="511" customFormat="false" ht="15" hidden="false" customHeight="false" outlineLevel="0" collapsed="false">
      <c r="A511" s="4" t="str">
        <f aca="false">Orders_Raw!A511</f>
        <v>ORD00093</v>
      </c>
      <c r="B511" s="4" t="str">
        <f aca="false">TRIM(UPPER(Orders_Raw!B511))</f>
        <v>CUST0001</v>
      </c>
      <c r="C511" s="4" t="str">
        <f aca="false">PROPER(TRIM(Orders_Raw!C511))</f>
        <v>Ola Lawal</v>
      </c>
      <c r="D511" s="6" t="str">
        <f aca="false">IFERROR(DATEVALUE(Orders_Raw!D511),"")</f>
        <v/>
      </c>
      <c r="E511" s="4" t="str">
        <f aca="false">IF(D511="","No","Yes")</f>
        <v>No</v>
      </c>
      <c r="F511" s="4" t="n">
        <f aca="false">IFERROR(VALUE(SUBSTITUTE(SUBSTITUTE(SUBSTITUTE(Orders_Raw!G511,"$",""),"NGN",""),",","")),"")</f>
        <v>187.92</v>
      </c>
      <c r="G511" s="4" t="str">
        <f aca="false">IF(F511="","No","Yes")</f>
        <v>Yes</v>
      </c>
      <c r="H511" s="4" t="str">
        <f aca="false">Orders_Raw!F511</f>
        <v>1</v>
      </c>
      <c r="I511" s="4" t="str">
        <f aca="false">IF(H511="","No",IF(H511&lt;=0,"No","Yes"))</f>
        <v>Yes</v>
      </c>
      <c r="J511" s="4" t="str">
        <f aca="false">Orders_Raw!E511</f>
        <v>Monitor</v>
      </c>
      <c r="K511" s="4" t="str">
        <f aca="false">Orders_Raw!H511</f>
        <v>2026-05-25 15:21</v>
      </c>
      <c r="L511" s="4" t="str">
        <f aca="false">IF(COUNTIF(Orders_Raw!$A$5:$A$539,A511)&gt;1,"YES","No")</f>
        <v>No</v>
      </c>
      <c r="M511" s="4" t="str">
        <f aca="false">IF(COUNTIFS($B$5:$B$539,B511,$D$5:$D$539,D511,$F$5:$F$539,F511)&gt;1,"YES","No")</f>
        <v>No</v>
      </c>
      <c r="N511" s="4" t="str">
        <f aca="false">IFERROR(INDEX(Customer_Master!$B$5:$B$64,MATCH(B511,Customer_Master!$A$5:$A$64,0)),"UNMATCHED")</f>
        <v>Ola Lawal</v>
      </c>
      <c r="O511" s="4" t="str">
        <f aca="false">IFERROR(INDEX(Customer_Master!$C$5:$C$64,MATCH(B511,Customer_Master!$A$5:$A$64,0)),"UNMATCHED")</f>
        <v>Champions</v>
      </c>
      <c r="P511" s="4" t="str">
        <f aca="false">IFERROR(INDEX(Customer_Master!$D$5:$D$64,MATCH(B511,Customer_Master!$A$5:$A$64,0)),"UNMATCHED")</f>
        <v>Ibadan</v>
      </c>
      <c r="Q511" s="4" t="str">
        <f aca="false">IF(N511="UNMATCHED","Unmatched","Matched")</f>
        <v>Matched</v>
      </c>
      <c r="R511" s="4" t="str">
        <f aca="false">IF(OR(E511="No",G511="No",I511="No",L511="YES",Q511="Unmatched"),"NEEDS REVIEW","OK")</f>
        <v>NEEDS REVIEW</v>
      </c>
    </row>
    <row r="512" customFormat="false" ht="15" hidden="false" customHeight="false" outlineLevel="0" collapsed="false">
      <c r="A512" s="4" t="str">
        <f aca="false">Orders_Raw!A512</f>
        <v>ORD00306</v>
      </c>
      <c r="B512" s="4" t="str">
        <f aca="false">TRIM(UPPER(Orders_Raw!B512))</f>
        <v>CUST0046</v>
      </c>
      <c r="C512" s="4" t="str">
        <f aca="false">PROPER(TRIM(Orders_Raw!C512))</f>
        <v>Fatima Nnamdi</v>
      </c>
      <c r="D512" s="6" t="n">
        <f aca="false">IFERROR(DATEVALUE(Orders_Raw!D512),"")</f>
        <v>46119</v>
      </c>
      <c r="E512" s="4" t="str">
        <f aca="false">IF(D512="","No","Yes")</f>
        <v>Yes</v>
      </c>
      <c r="F512" s="4" t="n">
        <f aca="false">IFERROR(VALUE(SUBSTITUTE(SUBSTITUTE(SUBSTITUTE(Orders_Raw!G512,"$",""),"NGN",""),",","")),"")</f>
        <v>1931.56</v>
      </c>
      <c r="G512" s="4" t="str">
        <f aca="false">IF(F512="","No","Yes")</f>
        <v>Yes</v>
      </c>
      <c r="H512" s="4" t="str">
        <f aca="false">Orders_Raw!F512</f>
        <v>1</v>
      </c>
      <c r="I512" s="4" t="str">
        <f aca="false">IF(H512="","No",IF(H512&lt;=0,"No","Yes"))</f>
        <v>Yes</v>
      </c>
      <c r="J512" s="4" t="str">
        <f aca="false">Orders_Raw!E512</f>
        <v>Phone</v>
      </c>
      <c r="K512" s="4" t="str">
        <f aca="false">Orders_Raw!H512</f>
        <v>2026-04-07 18:53</v>
      </c>
      <c r="L512" s="4" t="str">
        <f aca="false">IF(COUNTIF(Orders_Raw!$A$5:$A$539,A512)&gt;1,"YES","No")</f>
        <v>No</v>
      </c>
      <c r="M512" s="4" t="str">
        <f aca="false">IF(COUNTIFS($B$5:$B$539,B512,$D$5:$D$539,D512,$F$5:$F$539,F512)&gt;1,"YES","No")</f>
        <v>No</v>
      </c>
      <c r="N512" s="4" t="str">
        <f aca="false">IFERROR(INDEX(Customer_Master!$B$5:$B$64,MATCH(B512,Customer_Master!$A$5:$A$64,0)),"UNMATCHED")</f>
        <v>Fatima Nnamdi</v>
      </c>
      <c r="O512" s="4" t="str">
        <f aca="false">IFERROR(INDEX(Customer_Master!$C$5:$C$64,MATCH(B512,Customer_Master!$A$5:$A$64,0)),"UNMATCHED")</f>
        <v>New</v>
      </c>
      <c r="P512" s="4" t="str">
        <f aca="false">IFERROR(INDEX(Customer_Master!$D$5:$D$64,MATCH(B512,Customer_Master!$A$5:$A$64,0)),"UNMATCHED")</f>
        <v>Enugu</v>
      </c>
      <c r="Q512" s="4" t="str">
        <f aca="false">IF(N512="UNMATCHED","Unmatched","Matched")</f>
        <v>Matched</v>
      </c>
      <c r="R512" s="4" t="str">
        <f aca="false">IF(OR(E512="No",G512="No",I512="No",L512="YES",Q512="Unmatched"),"NEEDS REVIEW","OK")</f>
        <v>OK</v>
      </c>
    </row>
    <row r="513" customFormat="false" ht="15" hidden="false" customHeight="false" outlineLevel="0" collapsed="false">
      <c r="A513" s="4" t="str">
        <f aca="false">Orders_Raw!A513</f>
        <v>ORD00020</v>
      </c>
      <c r="B513" s="4" t="str">
        <f aca="false">TRIM(UPPER(Orders_Raw!B513))</f>
        <v>CUST0045</v>
      </c>
      <c r="C513" s="4" t="str">
        <f aca="false">PROPER(TRIM(Orders_Raw!C513))</f>
        <v>Yusuf Yakubu</v>
      </c>
      <c r="D513" s="6" t="str">
        <f aca="false">IFERROR(DATEVALUE(Orders_Raw!D513),"")</f>
        <v/>
      </c>
      <c r="E513" s="4" t="str">
        <f aca="false">IF(D513="","No","Yes")</f>
        <v>No</v>
      </c>
      <c r="F513" s="4" t="n">
        <f aca="false">IFERROR(VALUE(SUBSTITUTE(SUBSTITUTE(SUBSTITUTE(Orders_Raw!G513,"$",""),"NGN",""),",","")),"")</f>
        <v>1667.35</v>
      </c>
      <c r="G513" s="4" t="str">
        <f aca="false">IF(F513="","No","Yes")</f>
        <v>Yes</v>
      </c>
      <c r="H513" s="4" t="str">
        <f aca="false">Orders_Raw!F513</f>
        <v>4</v>
      </c>
      <c r="I513" s="4" t="str">
        <f aca="false">IF(H513="","No",IF(H513&lt;=0,"No","Yes"))</f>
        <v>Yes</v>
      </c>
      <c r="J513" s="4" t="str">
        <f aca="false">Orders_Raw!E513</f>
        <v>Speaker</v>
      </c>
      <c r="K513" s="4" t="str">
        <f aca="false">Orders_Raw!H513</f>
        <v>2026-02-19 12:25</v>
      </c>
      <c r="L513" s="4" t="str">
        <f aca="false">IF(COUNTIF(Orders_Raw!$A$5:$A$539,A513)&gt;1,"YES","No")</f>
        <v>No</v>
      </c>
      <c r="M513" s="4" t="str">
        <f aca="false">IF(COUNTIFS($B$5:$B$539,B513,$D$5:$D$539,D513,$F$5:$F$539,F513)&gt;1,"YES","No")</f>
        <v>No</v>
      </c>
      <c r="N513" s="4" t="str">
        <f aca="false">IFERROR(INDEX(Customer_Master!$B$5:$B$64,MATCH(B513,Customer_Master!$A$5:$A$64,0)),"UNMATCHED")</f>
        <v>Yusuf Yakubu</v>
      </c>
      <c r="O513" s="4" t="str">
        <f aca="false">IFERROR(INDEX(Customer_Master!$C$5:$C$64,MATCH(B513,Customer_Master!$A$5:$A$64,0)),"UNMATCHED")</f>
        <v>New</v>
      </c>
      <c r="P513" s="4" t="str">
        <f aca="false">IFERROR(INDEX(Customer_Master!$D$5:$D$64,MATCH(B513,Customer_Master!$A$5:$A$64,0)),"UNMATCHED")</f>
        <v>Port Harcourt</v>
      </c>
      <c r="Q513" s="4" t="str">
        <f aca="false">IF(N513="UNMATCHED","Unmatched","Matched")</f>
        <v>Matched</v>
      </c>
      <c r="R513" s="4" t="str">
        <f aca="false">IF(OR(E513="No",G513="No",I513="No",L513="YES",Q513="Unmatched"),"NEEDS REVIEW","OK")</f>
        <v>NEEDS REVIEW</v>
      </c>
    </row>
    <row r="514" customFormat="false" ht="15" hidden="false" customHeight="false" outlineLevel="0" collapsed="false">
      <c r="A514" s="4" t="str">
        <f aca="false">Orders_Raw!A514</f>
        <v>ORD00355</v>
      </c>
      <c r="B514" s="4" t="str">
        <f aca="false">TRIM(UPPER(Orders_Raw!B514))</f>
        <v>CUST0042</v>
      </c>
      <c r="C514" s="4" t="str">
        <f aca="false">PROPER(TRIM(Orders_Raw!C514))</f>
        <v>Bisi Chukwu</v>
      </c>
      <c r="D514" s="6" t="n">
        <f aca="false">IFERROR(DATEVALUE(Orders_Raw!D514),"")</f>
        <v>46123</v>
      </c>
      <c r="E514" s="4" t="str">
        <f aca="false">IF(D514="","No","Yes")</f>
        <v>Yes</v>
      </c>
      <c r="F514" s="4" t="n">
        <f aca="false">IFERROR(VALUE(SUBSTITUTE(SUBSTITUTE(SUBSTITUTE(Orders_Raw!G514,"$",""),"NGN",""),",","")),"")</f>
        <v>2230.22</v>
      </c>
      <c r="G514" s="4" t="str">
        <f aca="false">IF(F514="","No","Yes")</f>
        <v>Yes</v>
      </c>
      <c r="H514" s="4" t="str">
        <f aca="false">Orders_Raw!F514</f>
        <v>4</v>
      </c>
      <c r="I514" s="4" t="str">
        <f aca="false">IF(H514="","No",IF(H514&lt;=0,"No","Yes"))</f>
        <v>Yes</v>
      </c>
      <c r="J514" s="4" t="str">
        <f aca="false">Orders_Raw!E514</f>
        <v>Tablet</v>
      </c>
      <c r="K514" s="4" t="str">
        <f aca="false">Orders_Raw!H514</f>
        <v>2026-04-11 16:05</v>
      </c>
      <c r="L514" s="4" t="str">
        <f aca="false">IF(COUNTIF(Orders_Raw!$A$5:$A$539,A514)&gt;1,"YES","No")</f>
        <v>No</v>
      </c>
      <c r="M514" s="4" t="str">
        <f aca="false">IF(COUNTIFS($B$5:$B$539,B514,$D$5:$D$539,D514,$F$5:$F$539,F514)&gt;1,"YES","No")</f>
        <v>No</v>
      </c>
      <c r="N514" s="4" t="str">
        <f aca="false">IFERROR(INDEX(Customer_Master!$B$5:$B$64,MATCH(B514,Customer_Master!$A$5:$A$64,0)),"UNMATCHED")</f>
        <v>Bisi Chukwu</v>
      </c>
      <c r="O514" s="4" t="str">
        <f aca="false">IFERROR(INDEX(Customer_Master!$C$5:$C$64,MATCH(B514,Customer_Master!$A$5:$A$64,0)),"UNMATCHED")</f>
        <v>At Risk</v>
      </c>
      <c r="P514" s="4" t="str">
        <f aca="false">IFERROR(INDEX(Customer_Master!$D$5:$D$64,MATCH(B514,Customer_Master!$A$5:$A$64,0)),"UNMATCHED")</f>
        <v>Kano</v>
      </c>
      <c r="Q514" s="4" t="str">
        <f aca="false">IF(N514="UNMATCHED","Unmatched","Matched")</f>
        <v>Matched</v>
      </c>
      <c r="R514" s="4" t="str">
        <f aca="false">IF(OR(E514="No",G514="No",I514="No",L514="YES",Q514="Unmatched"),"NEEDS REVIEW","OK")</f>
        <v>OK</v>
      </c>
    </row>
    <row r="515" customFormat="false" ht="15" hidden="false" customHeight="false" outlineLevel="0" collapsed="false">
      <c r="A515" s="4" t="str">
        <f aca="false">Orders_Raw!A515</f>
        <v>ORD00313</v>
      </c>
      <c r="B515" s="4" t="str">
        <f aca="false">TRIM(UPPER(Orders_Raw!B515))</f>
        <v>CUST0008</v>
      </c>
      <c r="C515" s="4" t="str">
        <f aca="false">PROPER(TRIM(Orders_Raw!C515))</f>
        <v>Victor Duru</v>
      </c>
      <c r="D515" s="6" t="n">
        <f aca="false">IFERROR(DATEVALUE(Orders_Raw!D515),"")</f>
        <v>46329</v>
      </c>
      <c r="E515" s="4" t="str">
        <f aca="false">IF(D515="","No","Yes")</f>
        <v>Yes</v>
      </c>
      <c r="F515" s="4" t="n">
        <f aca="false">IFERROR(VALUE(SUBSTITUTE(SUBSTITUTE(SUBSTITUTE(Orders_Raw!G515,"$",""),"NGN",""),",","")),"")</f>
        <v>1729.41</v>
      </c>
      <c r="G515" s="4" t="str">
        <f aca="false">IF(F515="","No","Yes")</f>
        <v>Yes</v>
      </c>
      <c r="H515" s="4" t="str">
        <f aca="false">Orders_Raw!F515</f>
        <v>5</v>
      </c>
      <c r="I515" s="4" t="str">
        <f aca="false">IF(H515="","No",IF(H515&lt;=0,"No","Yes"))</f>
        <v>Yes</v>
      </c>
      <c r="J515" s="4" t="str">
        <f aca="false">Orders_Raw!E515</f>
        <v>Headphones</v>
      </c>
      <c r="K515" s="4" t="str">
        <f aca="false">Orders_Raw!H515</f>
        <v>2026-03-11 09:08</v>
      </c>
      <c r="L515" s="4" t="str">
        <f aca="false">IF(COUNTIF(Orders_Raw!$A$5:$A$539,A515)&gt;1,"YES","No")</f>
        <v>No</v>
      </c>
      <c r="M515" s="4" t="str">
        <f aca="false">IF(COUNTIFS($B$5:$B$539,B515,$D$5:$D$539,D515,$F$5:$F$539,F515)&gt;1,"YES","No")</f>
        <v>No</v>
      </c>
      <c r="N515" s="4" t="str">
        <f aca="false">IFERROR(INDEX(Customer_Master!$B$5:$B$64,MATCH(B515,Customer_Master!$A$5:$A$64,0)),"UNMATCHED")</f>
        <v>Victor Duru</v>
      </c>
      <c r="O515" s="4" t="str">
        <f aca="false">IFERROR(INDEX(Customer_Master!$C$5:$C$64,MATCH(B515,Customer_Master!$A$5:$A$64,0)),"UNMATCHED")</f>
        <v>Loyal</v>
      </c>
      <c r="P515" s="4" t="str">
        <f aca="false">IFERROR(INDEX(Customer_Master!$D$5:$D$64,MATCH(B515,Customer_Master!$A$5:$A$64,0)),"UNMATCHED")</f>
        <v>Enugu</v>
      </c>
      <c r="Q515" s="4" t="str">
        <f aca="false">IF(N515="UNMATCHED","Unmatched","Matched")</f>
        <v>Matched</v>
      </c>
      <c r="R515" s="4" t="str">
        <f aca="false">IF(OR(E515="No",G515="No",I515="No",L515="YES",Q515="Unmatched"),"NEEDS REVIEW","OK")</f>
        <v>OK</v>
      </c>
    </row>
    <row r="516" customFormat="false" ht="15" hidden="false" customHeight="false" outlineLevel="0" collapsed="false">
      <c r="A516" s="4" t="str">
        <f aca="false">Orders_Raw!A516</f>
        <v>ORD00179</v>
      </c>
      <c r="B516" s="4" t="str">
        <f aca="false">TRIM(UPPER(Orders_Raw!B516))</f>
        <v>CUST0004</v>
      </c>
      <c r="C516" s="4" t="str">
        <f aca="false">PROPER(TRIM(Orders_Raw!C516))</f>
        <v>Grace Duru</v>
      </c>
      <c r="D516" s="6" t="n">
        <f aca="false">IFERROR(DATEVALUE(Orders_Raw!D516),"")</f>
        <v>46165</v>
      </c>
      <c r="E516" s="4" t="str">
        <f aca="false">IF(D516="","No","Yes")</f>
        <v>Yes</v>
      </c>
      <c r="F516" s="4" t="n">
        <f aca="false">IFERROR(VALUE(SUBSTITUTE(SUBSTITUTE(SUBSTITUTE(Orders_Raw!G516,"$",""),"NGN",""),",","")),"")</f>
        <v>348.22</v>
      </c>
      <c r="G516" s="4" t="str">
        <f aca="false">IF(F516="","No","Yes")</f>
        <v>Yes</v>
      </c>
      <c r="H516" s="4" t="str">
        <f aca="false">Orders_Raw!F516</f>
        <v>2</v>
      </c>
      <c r="I516" s="4" t="str">
        <f aca="false">IF(H516="","No",IF(H516&lt;=0,"No","Yes"))</f>
        <v>Yes</v>
      </c>
      <c r="J516" s="4" t="str">
        <f aca="false">Orders_Raw!E516</f>
        <v>Printer</v>
      </c>
      <c r="K516" s="4" t="str">
        <f aca="false">Orders_Raw!H516</f>
        <v>2026-05-23 13:05</v>
      </c>
      <c r="L516" s="4" t="str">
        <f aca="false">IF(COUNTIF(Orders_Raw!$A$5:$A$539,A516)&gt;1,"YES","No")</f>
        <v>No</v>
      </c>
      <c r="M516" s="4" t="str">
        <f aca="false">IF(COUNTIFS($B$5:$B$539,B516,$D$5:$D$539,D516,$F$5:$F$539,F516)&gt;1,"YES","No")</f>
        <v>No</v>
      </c>
      <c r="N516" s="4" t="str">
        <f aca="false">IFERROR(INDEX(Customer_Master!$B$5:$B$64,MATCH(B516,Customer_Master!$A$5:$A$64,0)),"UNMATCHED")</f>
        <v>Grace Duru</v>
      </c>
      <c r="O516" s="4" t="str">
        <f aca="false">IFERROR(INDEX(Customer_Master!$C$5:$C$64,MATCH(B516,Customer_Master!$A$5:$A$64,0)),"UNMATCHED")</f>
        <v>Champions</v>
      </c>
      <c r="P516" s="4" t="str">
        <f aca="false">IFERROR(INDEX(Customer_Master!$D$5:$D$64,MATCH(B516,Customer_Master!$A$5:$A$64,0)),"UNMATCHED")</f>
        <v>Kano</v>
      </c>
      <c r="Q516" s="4" t="str">
        <f aca="false">IF(N516="UNMATCHED","Unmatched","Matched")</f>
        <v>Matched</v>
      </c>
      <c r="R516" s="4" t="str">
        <f aca="false">IF(OR(E516="No",G516="No",I516="No",L516="YES",Q516="Unmatched"),"NEEDS REVIEW","OK")</f>
        <v>OK</v>
      </c>
    </row>
    <row r="517" customFormat="false" ht="15" hidden="false" customHeight="false" outlineLevel="0" collapsed="false">
      <c r="A517" s="4" t="str">
        <f aca="false">Orders_Raw!A517</f>
        <v>ORD00245</v>
      </c>
      <c r="B517" s="4" t="str">
        <f aca="false">TRIM(UPPER(Orders_Raw!B517))</f>
        <v>CUST0015</v>
      </c>
      <c r="C517" s="4" t="str">
        <f aca="false">PROPER(TRIM(Orders_Raw!C517))</f>
        <v>Ahmed Nwosu</v>
      </c>
      <c r="D517" s="6" t="n">
        <f aca="false">IFERROR(DATEVALUE(Orders_Raw!D517),"")</f>
        <v>46207</v>
      </c>
      <c r="E517" s="4" t="str">
        <f aca="false">IF(D517="","No","Yes")</f>
        <v>Yes</v>
      </c>
      <c r="F517" s="4" t="n">
        <f aca="false">IFERROR(VALUE(SUBSTITUTE(SUBSTITUTE(SUBSTITUTE(Orders_Raw!G517,"$",""),"NGN",""),",","")),"")</f>
        <v>689.08</v>
      </c>
      <c r="G517" s="4" t="str">
        <f aca="false">IF(F517="","No","Yes")</f>
        <v>Yes</v>
      </c>
      <c r="H517" s="4" t="str">
        <f aca="false">Orders_Raw!F517</f>
        <v>3</v>
      </c>
      <c r="I517" s="4" t="str">
        <f aca="false">IF(H517="","No",IF(H517&lt;=0,"No","Yes"))</f>
        <v>Yes</v>
      </c>
      <c r="J517" s="4" t="str">
        <f aca="false">Orders_Raw!E517</f>
        <v>Laptop</v>
      </c>
      <c r="K517" s="4" t="str">
        <f aca="false">Orders_Raw!H517</f>
        <v>2026-07-04 10:14</v>
      </c>
      <c r="L517" s="4" t="str">
        <f aca="false">IF(COUNTIF(Orders_Raw!$A$5:$A$539,A517)&gt;1,"YES","No")</f>
        <v>No</v>
      </c>
      <c r="M517" s="4" t="str">
        <f aca="false">IF(COUNTIFS($B$5:$B$539,B517,$D$5:$D$539,D517,$F$5:$F$539,F517)&gt;1,"YES","No")</f>
        <v>No</v>
      </c>
      <c r="N517" s="4" t="str">
        <f aca="false">IFERROR(INDEX(Customer_Master!$B$5:$B$64,MATCH(B517,Customer_Master!$A$5:$A$64,0)),"UNMATCHED")</f>
        <v>Ahmed Nwosu</v>
      </c>
      <c r="O517" s="4" t="str">
        <f aca="false">IFERROR(INDEX(Customer_Master!$C$5:$C$64,MATCH(B517,Customer_Master!$A$5:$A$64,0)),"UNMATCHED")</f>
        <v>Champions</v>
      </c>
      <c r="P517" s="4" t="str">
        <f aca="false">IFERROR(INDEX(Customer_Master!$D$5:$D$64,MATCH(B517,Customer_Master!$A$5:$A$64,0)),"UNMATCHED")</f>
        <v>Lagos</v>
      </c>
      <c r="Q517" s="4" t="str">
        <f aca="false">IF(N517="UNMATCHED","Unmatched","Matched")</f>
        <v>Matched</v>
      </c>
      <c r="R517" s="4" t="str">
        <f aca="false">IF(OR(E517="No",G517="No",I517="No",L517="YES",Q517="Unmatched"),"NEEDS REVIEW","OK")</f>
        <v>OK</v>
      </c>
    </row>
    <row r="518" customFormat="false" ht="15" hidden="false" customHeight="false" outlineLevel="0" collapsed="false">
      <c r="A518" s="4" t="str">
        <f aca="false">Orders_Raw!A518</f>
        <v>ORD00422</v>
      </c>
      <c r="B518" s="4" t="str">
        <f aca="false">TRIM(UPPER(Orders_Raw!B518))</f>
        <v>CUST0047</v>
      </c>
      <c r="C518" s="4" t="str">
        <f aca="false">PROPER(TRIM(Orders_Raw!C518))</f>
        <v>Amaka Adamu</v>
      </c>
      <c r="D518" s="6" t="n">
        <f aca="false">IFERROR(DATEVALUE(Orders_Raw!D518),"")</f>
        <v>46071</v>
      </c>
      <c r="E518" s="4" t="str">
        <f aca="false">IF(D518="","No","Yes")</f>
        <v>Yes</v>
      </c>
      <c r="F518" s="4" t="n">
        <f aca="false">IFERROR(VALUE(SUBSTITUTE(SUBSTITUTE(SUBSTITUTE(Orders_Raw!G518,"$",""),"NGN",""),",","")),"")</f>
        <v>1322.59</v>
      </c>
      <c r="G518" s="4" t="str">
        <f aca="false">IF(F518="","No","Yes")</f>
        <v>Yes</v>
      </c>
      <c r="H518" s="4" t="str">
        <f aca="false">Orders_Raw!F518</f>
        <v>3</v>
      </c>
      <c r="I518" s="4" t="str">
        <f aca="false">IF(H518="","No",IF(H518&lt;=0,"No","Yes"))</f>
        <v>Yes</v>
      </c>
      <c r="J518" s="4" t="str">
        <f aca="false">Orders_Raw!E518</f>
        <v>Tablet</v>
      </c>
      <c r="K518" s="4" t="str">
        <f aca="false">Orders_Raw!H518</f>
        <v>2026-02-18 14:47</v>
      </c>
      <c r="L518" s="4" t="str">
        <f aca="false">IF(COUNTIF(Orders_Raw!$A$5:$A$539,A518)&gt;1,"YES","No")</f>
        <v>No</v>
      </c>
      <c r="M518" s="4" t="str">
        <f aca="false">IF(COUNTIFS($B$5:$B$539,B518,$D$5:$D$539,D518,$F$5:$F$539,F518)&gt;1,"YES","No")</f>
        <v>No</v>
      </c>
      <c r="N518" s="4" t="str">
        <f aca="false">IFERROR(INDEX(Customer_Master!$B$5:$B$64,MATCH(B518,Customer_Master!$A$5:$A$64,0)),"UNMATCHED")</f>
        <v>Amaka Adamu</v>
      </c>
      <c r="O518" s="4" t="str">
        <f aca="false">IFERROR(INDEX(Customer_Master!$C$5:$C$64,MATCH(B518,Customer_Master!$A$5:$A$64,0)),"UNMATCHED")</f>
        <v>Loyal</v>
      </c>
      <c r="P518" s="4" t="str">
        <f aca="false">IFERROR(INDEX(Customer_Master!$D$5:$D$64,MATCH(B518,Customer_Master!$A$5:$A$64,0)),"UNMATCHED")</f>
        <v>Ibadan</v>
      </c>
      <c r="Q518" s="4" t="str">
        <f aca="false">IF(N518="UNMATCHED","Unmatched","Matched")</f>
        <v>Matched</v>
      </c>
      <c r="R518" s="4" t="str">
        <f aca="false">IF(OR(E518="No",G518="No",I518="No",L518="YES",Q518="Unmatched"),"NEEDS REVIEW","OK")</f>
        <v>OK</v>
      </c>
    </row>
    <row r="519" customFormat="false" ht="15" hidden="false" customHeight="false" outlineLevel="0" collapsed="false">
      <c r="A519" s="4" t="str">
        <f aca="false">Orders_Raw!A519</f>
        <v>ORD00462</v>
      </c>
      <c r="B519" s="4" t="str">
        <f aca="false">TRIM(UPPER(Orders_Raw!B519))</f>
        <v>CUST0040</v>
      </c>
      <c r="C519" s="4" t="str">
        <f aca="false">PROPER(TRIM(Orders_Raw!C519))</f>
        <v>Yusuf Chukwu</v>
      </c>
      <c r="D519" s="6" t="n">
        <f aca="false">IFERROR(DATEVALUE(Orders_Raw!D519),"")</f>
        <v>46169</v>
      </c>
      <c r="E519" s="4" t="str">
        <f aca="false">IF(D519="","No","Yes")</f>
        <v>Yes</v>
      </c>
      <c r="F519" s="4" t="n">
        <f aca="false">IFERROR(VALUE(SUBSTITUTE(SUBSTITUTE(SUBSTITUTE(Orders_Raw!G519,"$",""),"NGN",""),",","")),"")</f>
        <v>455.89</v>
      </c>
      <c r="G519" s="4" t="str">
        <f aca="false">IF(F519="","No","Yes")</f>
        <v>Yes</v>
      </c>
      <c r="H519" s="4" t="str">
        <f aca="false">Orders_Raw!F519</f>
        <v>4</v>
      </c>
      <c r="I519" s="4" t="str">
        <f aca="false">IF(H519="","No",IF(H519&lt;=0,"No","Yes"))</f>
        <v>Yes</v>
      </c>
      <c r="J519" s="4" t="str">
        <f aca="false">Orders_Raw!E519</f>
        <v>Phone</v>
      </c>
      <c r="K519" s="4" t="str">
        <f aca="false">Orders_Raw!H519</f>
        <v>2026-05-27 12:20</v>
      </c>
      <c r="L519" s="4" t="str">
        <f aca="false">IF(COUNTIF(Orders_Raw!$A$5:$A$539,A519)&gt;1,"YES","No")</f>
        <v>No</v>
      </c>
      <c r="M519" s="4" t="str">
        <f aca="false">IF(COUNTIFS($B$5:$B$539,B519,$D$5:$D$539,D519,$F$5:$F$539,F519)&gt;1,"YES","No")</f>
        <v>No</v>
      </c>
      <c r="N519" s="4" t="str">
        <f aca="false">IFERROR(INDEX(Customer_Master!$B$5:$B$64,MATCH(B519,Customer_Master!$A$5:$A$64,0)),"UNMATCHED")</f>
        <v>Yusuf Chukwu</v>
      </c>
      <c r="O519" s="4" t="str">
        <f aca="false">IFERROR(INDEX(Customer_Master!$C$5:$C$64,MATCH(B519,Customer_Master!$A$5:$A$64,0)),"UNMATCHED")</f>
        <v>Loyal</v>
      </c>
      <c r="P519" s="4" t="str">
        <f aca="false">IFERROR(INDEX(Customer_Master!$D$5:$D$64,MATCH(B519,Customer_Master!$A$5:$A$64,0)),"UNMATCHED")</f>
        <v>Lagos</v>
      </c>
      <c r="Q519" s="4" t="str">
        <f aca="false">IF(N519="UNMATCHED","Unmatched","Matched")</f>
        <v>Matched</v>
      </c>
      <c r="R519" s="4" t="str">
        <f aca="false">IF(OR(E519="No",G519="No",I519="No",L519="YES",Q519="Unmatched"),"NEEDS REVIEW","OK")</f>
        <v>OK</v>
      </c>
    </row>
    <row r="520" customFormat="false" ht="15" hidden="false" customHeight="false" outlineLevel="0" collapsed="false">
      <c r="A520" s="4" t="str">
        <f aca="false">Orders_Raw!A520</f>
        <v>ORD00278</v>
      </c>
      <c r="B520" s="4" t="str">
        <f aca="false">TRIM(UPPER(Orders_Raw!B520))</f>
        <v>CUST0023</v>
      </c>
      <c r="C520" s="4" t="str">
        <f aca="false">PROPER(TRIM(Orders_Raw!C520))</f>
        <v>Chidi Umeh</v>
      </c>
      <c r="D520" s="6" t="n">
        <f aca="false">IFERROR(DATEVALUE(Orders_Raw!D520),"")</f>
        <v>46216</v>
      </c>
      <c r="E520" s="4" t="str">
        <f aca="false">IF(D520="","No","Yes")</f>
        <v>Yes</v>
      </c>
      <c r="F520" s="4" t="n">
        <f aca="false">IFERROR(VALUE(SUBSTITUTE(SUBSTITUTE(SUBSTITUTE(Orders_Raw!G520,"$",""),"NGN",""),",","")),"")</f>
        <v>580.37</v>
      </c>
      <c r="G520" s="4" t="str">
        <f aca="false">IF(F520="","No","Yes")</f>
        <v>Yes</v>
      </c>
      <c r="H520" s="4" t="str">
        <f aca="false">Orders_Raw!F520</f>
        <v>5</v>
      </c>
      <c r="I520" s="4" t="str">
        <f aca="false">IF(H520="","No",IF(H520&lt;=0,"No","Yes"))</f>
        <v>Yes</v>
      </c>
      <c r="J520" s="4" t="str">
        <f aca="false">Orders_Raw!E520</f>
        <v>Tablet</v>
      </c>
      <c r="K520" s="4" t="str">
        <f aca="false">Orders_Raw!H520</f>
        <v>2026-07-13 18:55</v>
      </c>
      <c r="L520" s="4" t="str">
        <f aca="false">IF(COUNTIF(Orders_Raw!$A$5:$A$539,A520)&gt;1,"YES","No")</f>
        <v>No</v>
      </c>
      <c r="M520" s="4" t="str">
        <f aca="false">IF(COUNTIFS($B$5:$B$539,B520,$D$5:$D$539,D520,$F$5:$F$539,F520)&gt;1,"YES","No")</f>
        <v>No</v>
      </c>
      <c r="N520" s="4" t="str">
        <f aca="false">IFERROR(INDEX(Customer_Master!$B$5:$B$64,MATCH(B520,Customer_Master!$A$5:$A$64,0)),"UNMATCHED")</f>
        <v>Chidi Umeh</v>
      </c>
      <c r="O520" s="4" t="str">
        <f aca="false">IFERROR(INDEX(Customer_Master!$C$5:$C$64,MATCH(B520,Customer_Master!$A$5:$A$64,0)),"UNMATCHED")</f>
        <v>Champions</v>
      </c>
      <c r="P520" s="4" t="str">
        <f aca="false">IFERROR(INDEX(Customer_Master!$D$5:$D$64,MATCH(B520,Customer_Master!$A$5:$A$64,0)),"UNMATCHED")</f>
        <v>Kano</v>
      </c>
      <c r="Q520" s="4" t="str">
        <f aca="false">IF(N520="UNMATCHED","Unmatched","Matched")</f>
        <v>Matched</v>
      </c>
      <c r="R520" s="4" t="str">
        <f aca="false">IF(OR(E520="No",G520="No",I520="No",L520="YES",Q520="Unmatched"),"NEEDS REVIEW","OK")</f>
        <v>OK</v>
      </c>
    </row>
    <row r="521" customFormat="false" ht="15" hidden="false" customHeight="false" outlineLevel="0" collapsed="false">
      <c r="A521" s="4" t="str">
        <f aca="false">Orders_Raw!A521</f>
        <v>ORD00147</v>
      </c>
      <c r="B521" s="4" t="str">
        <f aca="false">TRIM(UPPER(Orders_Raw!B521))</f>
        <v>CUST0026</v>
      </c>
      <c r="C521" s="4" t="str">
        <f aca="false">PROPER(TRIM(Orders_Raw!C521))</f>
        <v>Amaka Yakubu</v>
      </c>
      <c r="D521" s="6" t="n">
        <f aca="false">IFERROR(DATEVALUE(Orders_Raw!D521),"")</f>
        <v>46032</v>
      </c>
      <c r="E521" s="4" t="str">
        <f aca="false">IF(D521="","No","Yes")</f>
        <v>Yes</v>
      </c>
      <c r="F521" s="4" t="n">
        <f aca="false">IFERROR(VALUE(SUBSTITUTE(SUBSTITUTE(SUBSTITUTE(Orders_Raw!G521,"$",""),"NGN",""),",","")),"")</f>
        <v>1788.28</v>
      </c>
      <c r="G521" s="4" t="str">
        <f aca="false">IF(F521="","No","Yes")</f>
        <v>Yes</v>
      </c>
      <c r="H521" s="4" t="str">
        <f aca="false">Orders_Raw!F521</f>
        <v>3</v>
      </c>
      <c r="I521" s="4" t="str">
        <f aca="false">IF(H521="","No",IF(H521&lt;=0,"No","Yes"))</f>
        <v>Yes</v>
      </c>
      <c r="J521" s="4" t="str">
        <f aca="false">Orders_Raw!E521</f>
        <v>Tablet</v>
      </c>
      <c r="K521" s="4" t="str">
        <f aca="false">Orders_Raw!H521</f>
        <v>2026-01-10 10:20</v>
      </c>
      <c r="L521" s="4" t="str">
        <f aca="false">IF(COUNTIF(Orders_Raw!$A$5:$A$539,A521)&gt;1,"YES","No")</f>
        <v>No</v>
      </c>
      <c r="M521" s="4" t="str">
        <f aca="false">IF(COUNTIFS($B$5:$B$539,B521,$D$5:$D$539,D521,$F$5:$F$539,F521)&gt;1,"YES","No")</f>
        <v>No</v>
      </c>
      <c r="N521" s="4" t="str">
        <f aca="false">IFERROR(INDEX(Customer_Master!$B$5:$B$64,MATCH(B521,Customer_Master!$A$5:$A$64,0)),"UNMATCHED")</f>
        <v>Amaka Yakubu</v>
      </c>
      <c r="O521" s="4" t="str">
        <f aca="false">IFERROR(INDEX(Customer_Master!$C$5:$C$64,MATCH(B521,Customer_Master!$A$5:$A$64,0)),"UNMATCHED")</f>
        <v>Lost / Low-Value</v>
      </c>
      <c r="P521" s="4" t="str">
        <f aca="false">IFERROR(INDEX(Customer_Master!$D$5:$D$64,MATCH(B521,Customer_Master!$A$5:$A$64,0)),"UNMATCHED")</f>
        <v>Kaduna</v>
      </c>
      <c r="Q521" s="4" t="str">
        <f aca="false">IF(N521="UNMATCHED","Unmatched","Matched")</f>
        <v>Matched</v>
      </c>
      <c r="R521" s="4" t="str">
        <f aca="false">IF(OR(E521="No",G521="No",I521="No",L521="YES",Q521="Unmatched"),"NEEDS REVIEW","OK")</f>
        <v>OK</v>
      </c>
    </row>
    <row r="522" customFormat="false" ht="15" hidden="false" customHeight="false" outlineLevel="0" collapsed="false">
      <c r="A522" s="4" t="str">
        <f aca="false">Orders_Raw!A522</f>
        <v>ORD00212</v>
      </c>
      <c r="B522" s="4" t="str">
        <f aca="false">TRIM(UPPER(Orders_Raw!B522))</f>
        <v>CUST0015</v>
      </c>
      <c r="C522" s="4" t="str">
        <f aca="false">PROPER(TRIM(Orders_Raw!C522))</f>
        <v>Ahmed Nwosu</v>
      </c>
      <c r="D522" s="6" t="str">
        <f aca="false">IFERROR(DATEVALUE(Orders_Raw!D522),"")</f>
        <v/>
      </c>
      <c r="E522" s="4" t="str">
        <f aca="false">IF(D522="","No","Yes")</f>
        <v>No</v>
      </c>
      <c r="F522" s="4" t="n">
        <f aca="false">IFERROR(VALUE(SUBSTITUTE(SUBSTITUTE(SUBSTITUTE(Orders_Raw!G522,"$",""),"NGN",""),",","")),"")</f>
        <v>998.02</v>
      </c>
      <c r="G522" s="4" t="str">
        <f aca="false">IF(F522="","No","Yes")</f>
        <v>Yes</v>
      </c>
      <c r="H522" s="4" t="str">
        <f aca="false">Orders_Raw!F522</f>
        <v>1</v>
      </c>
      <c r="I522" s="4" t="str">
        <f aca="false">IF(H522="","No",IF(H522&lt;=0,"No","Yes"))</f>
        <v>Yes</v>
      </c>
      <c r="J522" s="4" t="str">
        <f aca="false">Orders_Raw!E522</f>
        <v>Laptop</v>
      </c>
      <c r="K522" s="4" t="str">
        <f aca="false">Orders_Raw!H522</f>
        <v>2026-02-17 11:13</v>
      </c>
      <c r="L522" s="4" t="str">
        <f aca="false">IF(COUNTIF(Orders_Raw!$A$5:$A$539,A522)&gt;1,"YES","No")</f>
        <v>No</v>
      </c>
      <c r="M522" s="4" t="str">
        <f aca="false">IF(COUNTIFS($B$5:$B$539,B522,$D$5:$D$539,D522,$F$5:$F$539,F522)&gt;1,"YES","No")</f>
        <v>No</v>
      </c>
      <c r="N522" s="4" t="str">
        <f aca="false">IFERROR(INDEX(Customer_Master!$B$5:$B$64,MATCH(B522,Customer_Master!$A$5:$A$64,0)),"UNMATCHED")</f>
        <v>Ahmed Nwosu</v>
      </c>
      <c r="O522" s="4" t="str">
        <f aca="false">IFERROR(INDEX(Customer_Master!$C$5:$C$64,MATCH(B522,Customer_Master!$A$5:$A$64,0)),"UNMATCHED")</f>
        <v>Champions</v>
      </c>
      <c r="P522" s="4" t="str">
        <f aca="false">IFERROR(INDEX(Customer_Master!$D$5:$D$64,MATCH(B522,Customer_Master!$A$5:$A$64,0)),"UNMATCHED")</f>
        <v>Lagos</v>
      </c>
      <c r="Q522" s="4" t="str">
        <f aca="false">IF(N522="UNMATCHED","Unmatched","Matched")</f>
        <v>Matched</v>
      </c>
      <c r="R522" s="4" t="str">
        <f aca="false">IF(OR(E522="No",G522="No",I522="No",L522="YES",Q522="Unmatched"),"NEEDS REVIEW","OK")</f>
        <v>NEEDS REVIEW</v>
      </c>
    </row>
    <row r="523" customFormat="false" ht="15" hidden="false" customHeight="false" outlineLevel="0" collapsed="false">
      <c r="A523" s="4" t="str">
        <f aca="false">Orders_Raw!A523</f>
        <v>ORD00130</v>
      </c>
      <c r="B523" s="4" t="str">
        <f aca="false">TRIM(UPPER(Orders_Raw!B523))</f>
        <v>CUST0025</v>
      </c>
      <c r="C523" s="4" t="str">
        <f aca="false">PROPER(TRIM(Orders_Raw!C523))</f>
        <v>Fatima Okafor</v>
      </c>
      <c r="D523" s="6" t="n">
        <f aca="false">IFERROR(DATEVALUE(Orders_Raw!D523),"")</f>
        <v>46090</v>
      </c>
      <c r="E523" s="4" t="str">
        <f aca="false">IF(D523="","No","Yes")</f>
        <v>Yes</v>
      </c>
      <c r="F523" s="4" t="n">
        <f aca="false">IFERROR(VALUE(SUBSTITUTE(SUBSTITUTE(SUBSTITUTE(Orders_Raw!G523,"$",""),"NGN",""),",","")),"")</f>
        <v>1764.53</v>
      </c>
      <c r="G523" s="4" t="str">
        <f aca="false">IF(F523="","No","Yes")</f>
        <v>Yes</v>
      </c>
      <c r="H523" s="4" t="str">
        <f aca="false">Orders_Raw!F523</f>
        <v>3</v>
      </c>
      <c r="I523" s="4" t="str">
        <f aca="false">IF(H523="","No",IF(H523&lt;=0,"No","Yes"))</f>
        <v>Yes</v>
      </c>
      <c r="J523" s="4" t="str">
        <f aca="false">Orders_Raw!E523</f>
        <v>Printer</v>
      </c>
      <c r="K523" s="4" t="str">
        <f aca="false">Orders_Raw!H523</f>
        <v>2026-03-09 11:07</v>
      </c>
      <c r="L523" s="4" t="str">
        <f aca="false">IF(COUNTIF(Orders_Raw!$A$5:$A$539,A523)&gt;1,"YES","No")</f>
        <v>No</v>
      </c>
      <c r="M523" s="4" t="str">
        <f aca="false">IF(COUNTIFS($B$5:$B$539,B523,$D$5:$D$539,D523,$F$5:$F$539,F523)&gt;1,"YES","No")</f>
        <v>No</v>
      </c>
      <c r="N523" s="4" t="str">
        <f aca="false">IFERROR(INDEX(Customer_Master!$B$5:$B$64,MATCH(B523,Customer_Master!$A$5:$A$64,0)),"UNMATCHED")</f>
        <v>Fatima Okafor</v>
      </c>
      <c r="O523" s="4" t="str">
        <f aca="false">IFERROR(INDEX(Customer_Master!$C$5:$C$64,MATCH(B523,Customer_Master!$A$5:$A$64,0)),"UNMATCHED")</f>
        <v>Loyal</v>
      </c>
      <c r="P523" s="4" t="str">
        <f aca="false">IFERROR(INDEX(Customer_Master!$D$5:$D$64,MATCH(B523,Customer_Master!$A$5:$A$64,0)),"UNMATCHED")</f>
        <v>Jos</v>
      </c>
      <c r="Q523" s="4" t="str">
        <f aca="false">IF(N523="UNMATCHED","Unmatched","Matched")</f>
        <v>Matched</v>
      </c>
      <c r="R523" s="4" t="str">
        <f aca="false">IF(OR(E523="No",G523="No",I523="No",L523="YES",Q523="Unmatched"),"NEEDS REVIEW","OK")</f>
        <v>OK</v>
      </c>
    </row>
    <row r="524" customFormat="false" ht="15" hidden="false" customHeight="false" outlineLevel="0" collapsed="false">
      <c r="A524" s="4" t="str">
        <f aca="false">Orders_Raw!A524</f>
        <v>ORD00488</v>
      </c>
      <c r="B524" s="4" t="str">
        <f aca="false">TRIM(UPPER(Orders_Raw!B524))</f>
        <v>CUST0059</v>
      </c>
      <c r="C524" s="4" t="str">
        <f aca="false">PROPER(TRIM(Orders_Raw!C524))</f>
        <v>Chidi Lawal</v>
      </c>
      <c r="D524" s="6" t="str">
        <f aca="false">IFERROR(DATEVALUE(Orders_Raw!D524),"")</f>
        <v/>
      </c>
      <c r="E524" s="4" t="str">
        <f aca="false">IF(D524="","No","Yes")</f>
        <v>No</v>
      </c>
      <c r="F524" s="4" t="n">
        <f aca="false">IFERROR(VALUE(SUBSTITUTE(SUBSTITUTE(SUBSTITUTE(Orders_Raw!G524,"$",""),"NGN",""),",","")),"")</f>
        <v>1534.55</v>
      </c>
      <c r="G524" s="4" t="str">
        <f aca="false">IF(F524="","No","Yes")</f>
        <v>Yes</v>
      </c>
      <c r="H524" s="4" t="str">
        <f aca="false">Orders_Raw!F524</f>
        <v>2</v>
      </c>
      <c r="I524" s="4" t="str">
        <f aca="false">IF(H524="","No",IF(H524&lt;=0,"No","Yes"))</f>
        <v>Yes</v>
      </c>
      <c r="J524" s="4" t="str">
        <f aca="false">Orders_Raw!E524</f>
        <v>Laptop</v>
      </c>
      <c r="K524" s="4" t="str">
        <f aca="false">Orders_Raw!H524</f>
        <v>2026-05-30 13:57</v>
      </c>
      <c r="L524" s="4" t="str">
        <f aca="false">IF(COUNTIF(Orders_Raw!$A$5:$A$539,A524)&gt;1,"YES","No")</f>
        <v>No</v>
      </c>
      <c r="M524" s="4" t="str">
        <f aca="false">IF(COUNTIFS($B$5:$B$539,B524,$D$5:$D$539,D524,$F$5:$F$539,F524)&gt;1,"YES","No")</f>
        <v>No</v>
      </c>
      <c r="N524" s="4" t="str">
        <f aca="false">IFERROR(INDEX(Customer_Master!$B$5:$B$64,MATCH(B524,Customer_Master!$A$5:$A$64,0)),"UNMATCHED")</f>
        <v>Chidi Lawal</v>
      </c>
      <c r="O524" s="4" t="str">
        <f aca="false">IFERROR(INDEX(Customer_Master!$C$5:$C$64,MATCH(B524,Customer_Master!$A$5:$A$64,0)),"UNMATCHED")</f>
        <v>Champions</v>
      </c>
      <c r="P524" s="4" t="str">
        <f aca="false">IFERROR(INDEX(Customer_Master!$D$5:$D$64,MATCH(B524,Customer_Master!$A$5:$A$64,0)),"UNMATCHED")</f>
        <v>Enugu</v>
      </c>
      <c r="Q524" s="4" t="str">
        <f aca="false">IF(N524="UNMATCHED","Unmatched","Matched")</f>
        <v>Matched</v>
      </c>
      <c r="R524" s="4" t="str">
        <f aca="false">IF(OR(E524="No",G524="No",I524="No",L524="YES",Q524="Unmatched"),"NEEDS REVIEW","OK")</f>
        <v>NEEDS REVIEW</v>
      </c>
    </row>
    <row r="525" customFormat="false" ht="15" hidden="false" customHeight="false" outlineLevel="0" collapsed="false">
      <c r="A525" s="4" t="str">
        <f aca="false">Orders_Raw!A525</f>
        <v>ORD00427</v>
      </c>
      <c r="B525" s="4" t="str">
        <f aca="false">TRIM(UPPER(Orders_Raw!B525))</f>
        <v>CUST0053</v>
      </c>
      <c r="C525" s="4" t="str">
        <f aca="false">PROPER(TRIM(Orders_Raw!C525))</f>
        <v>Comfort Adeyemi</v>
      </c>
      <c r="D525" s="6" t="n">
        <f aca="false">IFERROR(DATEVALUE(Orders_Raw!D525),"")</f>
        <v>46164</v>
      </c>
      <c r="E525" s="4" t="str">
        <f aca="false">IF(D525="","No","Yes")</f>
        <v>Yes</v>
      </c>
      <c r="F525" s="4" t="n">
        <f aca="false">IFERROR(VALUE(SUBSTITUTE(SUBSTITUTE(SUBSTITUTE(Orders_Raw!G525,"$",""),"NGN",""),",","")),"")</f>
        <v>1397.46</v>
      </c>
      <c r="G525" s="4" t="str">
        <f aca="false">IF(F525="","No","Yes")</f>
        <v>Yes</v>
      </c>
      <c r="H525" s="4" t="str">
        <f aca="false">Orders_Raw!F525</f>
        <v>1</v>
      </c>
      <c r="I525" s="4" t="str">
        <f aca="false">IF(H525="","No",IF(H525&lt;=0,"No","Yes"))</f>
        <v>Yes</v>
      </c>
      <c r="J525" s="4" t="str">
        <f aca="false">Orders_Raw!E525</f>
        <v>Headphones</v>
      </c>
      <c r="K525" s="4" t="str">
        <f aca="false">Orders_Raw!H525</f>
        <v>2026-05-22 10:16</v>
      </c>
      <c r="L525" s="4" t="str">
        <f aca="false">IF(COUNTIF(Orders_Raw!$A$5:$A$539,A525)&gt;1,"YES","No")</f>
        <v>No</v>
      </c>
      <c r="M525" s="4" t="str">
        <f aca="false">IF(COUNTIFS($B$5:$B$539,B525,$D$5:$D$539,D525,$F$5:$F$539,F525)&gt;1,"YES","No")</f>
        <v>No</v>
      </c>
      <c r="N525" s="4" t="str">
        <f aca="false">IFERROR(INDEX(Customer_Master!$B$5:$B$64,MATCH(B525,Customer_Master!$A$5:$A$64,0)),"UNMATCHED")</f>
        <v>Comfort Adeyemi</v>
      </c>
      <c r="O525" s="4" t="str">
        <f aca="false">IFERROR(INDEX(Customer_Master!$C$5:$C$64,MATCH(B525,Customer_Master!$A$5:$A$64,0)),"UNMATCHED")</f>
        <v>At Risk</v>
      </c>
      <c r="P525" s="4" t="str">
        <f aca="false">IFERROR(INDEX(Customer_Master!$D$5:$D$64,MATCH(B525,Customer_Master!$A$5:$A$64,0)),"UNMATCHED")</f>
        <v>Abuja</v>
      </c>
      <c r="Q525" s="4" t="str">
        <f aca="false">IF(N525="UNMATCHED","Unmatched","Matched")</f>
        <v>Matched</v>
      </c>
      <c r="R525" s="4" t="str">
        <f aca="false">IF(OR(E525="No",G525="No",I525="No",L525="YES",Q525="Unmatched"),"NEEDS REVIEW","OK")</f>
        <v>OK</v>
      </c>
    </row>
    <row r="526" customFormat="false" ht="15" hidden="false" customHeight="false" outlineLevel="0" collapsed="false">
      <c r="A526" s="4" t="str">
        <f aca="false">Orders_Raw!A526</f>
        <v>ORD00291</v>
      </c>
      <c r="B526" s="4" t="str">
        <f aca="false">TRIM(UPPER(Orders_Raw!B526))</f>
        <v>CUST0015</v>
      </c>
      <c r="C526" s="4" t="str">
        <f aca="false">PROPER(TRIM(Orders_Raw!C526))</f>
        <v>Ahmed Nwosu</v>
      </c>
      <c r="D526" s="6" t="str">
        <f aca="false">IFERROR(DATEVALUE(Orders_Raw!D526),"")</f>
        <v/>
      </c>
      <c r="E526" s="4" t="str">
        <f aca="false">IF(D526="","No","Yes")</f>
        <v>No</v>
      </c>
      <c r="F526" s="4" t="n">
        <f aca="false">IFERROR(VALUE(SUBSTITUTE(SUBSTITUTE(SUBSTITUTE(Orders_Raw!G526,"$",""),"NGN",""),",","")),"")</f>
        <v>1290.5</v>
      </c>
      <c r="G526" s="4" t="str">
        <f aca="false">IF(F526="","No","Yes")</f>
        <v>Yes</v>
      </c>
      <c r="H526" s="4" t="str">
        <f aca="false">Orders_Raw!F526</f>
        <v>2</v>
      </c>
      <c r="I526" s="4" t="str">
        <f aca="false">IF(H526="","No",IF(H526&lt;=0,"No","Yes"))</f>
        <v>Yes</v>
      </c>
      <c r="J526" s="4" t="str">
        <f aca="false">Orders_Raw!E526</f>
        <v>Speaker</v>
      </c>
      <c r="K526" s="4" t="str">
        <f aca="false">Orders_Raw!H526</f>
        <v>2026-06-16 08:14</v>
      </c>
      <c r="L526" s="4" t="str">
        <f aca="false">IF(COUNTIF(Orders_Raw!$A$5:$A$539,A526)&gt;1,"YES","No")</f>
        <v>No</v>
      </c>
      <c r="M526" s="4" t="str">
        <f aca="false">IF(COUNTIFS($B$5:$B$539,B526,$D$5:$D$539,D526,$F$5:$F$539,F526)&gt;1,"YES","No")</f>
        <v>No</v>
      </c>
      <c r="N526" s="4" t="str">
        <f aca="false">IFERROR(INDEX(Customer_Master!$B$5:$B$64,MATCH(B526,Customer_Master!$A$5:$A$64,0)),"UNMATCHED")</f>
        <v>Ahmed Nwosu</v>
      </c>
      <c r="O526" s="4" t="str">
        <f aca="false">IFERROR(INDEX(Customer_Master!$C$5:$C$64,MATCH(B526,Customer_Master!$A$5:$A$64,0)),"UNMATCHED")</f>
        <v>Champions</v>
      </c>
      <c r="P526" s="4" t="str">
        <f aca="false">IFERROR(INDEX(Customer_Master!$D$5:$D$64,MATCH(B526,Customer_Master!$A$5:$A$64,0)),"UNMATCHED")</f>
        <v>Lagos</v>
      </c>
      <c r="Q526" s="4" t="str">
        <f aca="false">IF(N526="UNMATCHED","Unmatched","Matched")</f>
        <v>Matched</v>
      </c>
      <c r="R526" s="4" t="str">
        <f aca="false">IF(OR(E526="No",G526="No",I526="No",L526="YES",Q526="Unmatched"),"NEEDS REVIEW","OK")</f>
        <v>NEEDS REVIEW</v>
      </c>
    </row>
    <row r="527" customFormat="false" ht="15" hidden="false" customHeight="false" outlineLevel="0" collapsed="false">
      <c r="A527" s="4" t="str">
        <f aca="false">Orders_Raw!A527</f>
        <v>ORD00092</v>
      </c>
      <c r="B527" s="4" t="str">
        <f aca="false">TRIM(UPPER(Orders_Raw!B527))</f>
        <v>CUST0053</v>
      </c>
      <c r="C527" s="4" t="str">
        <f aca="false">PROPER(TRIM(Orders_Raw!C527))</f>
        <v>Comfort Adeyemi</v>
      </c>
      <c r="D527" s="6" t="n">
        <f aca="false">IFERROR(DATEVALUE(Orders_Raw!D527),"")</f>
        <v>46029</v>
      </c>
      <c r="E527" s="4" t="str">
        <f aca="false">IF(D527="","No","Yes")</f>
        <v>Yes</v>
      </c>
      <c r="F527" s="4" t="n">
        <f aca="false">IFERROR(VALUE(SUBSTITUTE(SUBSTITUTE(SUBSTITUTE(Orders_Raw!G527,"$",""),"NGN",""),",","")),"")</f>
        <v>2323.77</v>
      </c>
      <c r="G527" s="4" t="str">
        <f aca="false">IF(F527="","No","Yes")</f>
        <v>Yes</v>
      </c>
      <c r="H527" s="4" t="str">
        <f aca="false">Orders_Raw!F527</f>
        <v>1</v>
      </c>
      <c r="I527" s="4" t="str">
        <f aca="false">IF(H527="","No",IF(H527&lt;=0,"No","Yes"))</f>
        <v>Yes</v>
      </c>
      <c r="J527" s="4" t="str">
        <f aca="false">Orders_Raw!E527</f>
        <v>Mouse</v>
      </c>
      <c r="K527" s="4" t="str">
        <f aca="false">Orders_Raw!H527</f>
        <v>2026-01-07 13:22</v>
      </c>
      <c r="L527" s="4" t="str">
        <f aca="false">IF(COUNTIF(Orders_Raw!$A$5:$A$539,A527)&gt;1,"YES","No")</f>
        <v>No</v>
      </c>
      <c r="M527" s="4" t="str">
        <f aca="false">IF(COUNTIFS($B$5:$B$539,B527,$D$5:$D$539,D527,$F$5:$F$539,F527)&gt;1,"YES","No")</f>
        <v>No</v>
      </c>
      <c r="N527" s="4" t="str">
        <f aca="false">IFERROR(INDEX(Customer_Master!$B$5:$B$64,MATCH(B527,Customer_Master!$A$5:$A$64,0)),"UNMATCHED")</f>
        <v>Comfort Adeyemi</v>
      </c>
      <c r="O527" s="4" t="str">
        <f aca="false">IFERROR(INDEX(Customer_Master!$C$5:$C$64,MATCH(B527,Customer_Master!$A$5:$A$64,0)),"UNMATCHED")</f>
        <v>At Risk</v>
      </c>
      <c r="P527" s="4" t="str">
        <f aca="false">IFERROR(INDEX(Customer_Master!$D$5:$D$64,MATCH(B527,Customer_Master!$A$5:$A$64,0)),"UNMATCHED")</f>
        <v>Abuja</v>
      </c>
      <c r="Q527" s="4" t="str">
        <f aca="false">IF(N527="UNMATCHED","Unmatched","Matched")</f>
        <v>Matched</v>
      </c>
      <c r="R527" s="4" t="str">
        <f aca="false">IF(OR(E527="No",G527="No",I527="No",L527="YES",Q527="Unmatched"),"NEEDS REVIEW","OK")</f>
        <v>OK</v>
      </c>
    </row>
    <row r="528" customFormat="false" ht="15" hidden="false" customHeight="false" outlineLevel="0" collapsed="false">
      <c r="A528" s="4" t="str">
        <f aca="false">Orders_Raw!A528</f>
        <v>ORD00184</v>
      </c>
      <c r="B528" s="4" t="str">
        <f aca="false">TRIM(UPPER(Orders_Raw!B528))</f>
        <v>CUST0010</v>
      </c>
      <c r="C528" s="4" t="str">
        <f aca="false">PROPER(TRIM(Orders_Raw!C528))</f>
        <v>Esther Umeh</v>
      </c>
      <c r="D528" s="6" t="n">
        <f aca="false">IFERROR(DATEVALUE(Orders_Raw!D528),"")</f>
        <v>46062</v>
      </c>
      <c r="E528" s="4" t="str">
        <f aca="false">IF(D528="","No","Yes")</f>
        <v>Yes</v>
      </c>
      <c r="F528" s="4" t="n">
        <f aca="false">IFERROR(VALUE(SUBSTITUTE(SUBSTITUTE(SUBSTITUTE(Orders_Raw!G528,"$",""),"NGN",""),",","")),"")</f>
        <v>834.72</v>
      </c>
      <c r="G528" s="4" t="str">
        <f aca="false">IF(F528="","No","Yes")</f>
        <v>Yes</v>
      </c>
      <c r="H528" s="4" t="str">
        <f aca="false">Orders_Raw!F528</f>
        <v>3</v>
      </c>
      <c r="I528" s="4" t="str">
        <f aca="false">IF(H528="","No",IF(H528&lt;=0,"No","Yes"))</f>
        <v>Yes</v>
      </c>
      <c r="J528" s="4" t="str">
        <f aca="false">Orders_Raw!E528</f>
        <v>Keyboard</v>
      </c>
      <c r="K528" s="4" t="str">
        <f aca="false">Orders_Raw!H528</f>
        <v>2026-02-09 12:48</v>
      </c>
      <c r="L528" s="4" t="str">
        <f aca="false">IF(COUNTIF(Orders_Raw!$A$5:$A$539,A528)&gt;1,"YES","No")</f>
        <v>No</v>
      </c>
      <c r="M528" s="4" t="str">
        <f aca="false">IF(COUNTIFS($B$5:$B$539,B528,$D$5:$D$539,D528,$F$5:$F$539,F528)&gt;1,"YES","No")</f>
        <v>No</v>
      </c>
      <c r="N528" s="4" t="str">
        <f aca="false">IFERROR(INDEX(Customer_Master!$B$5:$B$64,MATCH(B528,Customer_Master!$A$5:$A$64,0)),"UNMATCHED")</f>
        <v>Esther Umeh</v>
      </c>
      <c r="O528" s="4" t="str">
        <f aca="false">IFERROR(INDEX(Customer_Master!$C$5:$C$64,MATCH(B528,Customer_Master!$A$5:$A$64,0)),"UNMATCHED")</f>
        <v>Champions</v>
      </c>
      <c r="P528" s="4" t="str">
        <f aca="false">IFERROR(INDEX(Customer_Master!$D$5:$D$64,MATCH(B528,Customer_Master!$A$5:$A$64,0)),"UNMATCHED")</f>
        <v>Abuja</v>
      </c>
      <c r="Q528" s="4" t="str">
        <f aca="false">IF(N528="UNMATCHED","Unmatched","Matched")</f>
        <v>Matched</v>
      </c>
      <c r="R528" s="4" t="str">
        <f aca="false">IF(OR(E528="No",G528="No",I528="No",L528="YES",Q528="Unmatched"),"NEEDS REVIEW","OK")</f>
        <v>OK</v>
      </c>
    </row>
    <row r="529" customFormat="false" ht="15" hidden="false" customHeight="false" outlineLevel="0" collapsed="false">
      <c r="A529" s="4" t="str">
        <f aca="false">Orders_Raw!A529</f>
        <v>ORD00008</v>
      </c>
      <c r="B529" s="4" t="str">
        <f aca="false">TRIM(UPPER(Orders_Raw!B529))</f>
        <v>CUST0014</v>
      </c>
      <c r="C529" s="4" t="str">
        <f aca="false">PROPER(TRIM(Orders_Raw!C529))</f>
        <v>Joy Eze</v>
      </c>
      <c r="D529" s="6" t="str">
        <f aca="false">IFERROR(DATEVALUE(Orders_Raw!D529),"")</f>
        <v/>
      </c>
      <c r="E529" s="4" t="str">
        <f aca="false">IF(D529="","No","Yes")</f>
        <v>No</v>
      </c>
      <c r="F529" s="4" t="n">
        <f aca="false">IFERROR(VALUE(SUBSTITUTE(SUBSTITUTE(SUBSTITUTE(Orders_Raw!G529,"$",""),"NGN",""),",","")),"")</f>
        <v>2199.99</v>
      </c>
      <c r="G529" s="4" t="str">
        <f aca="false">IF(F529="","No","Yes")</f>
        <v>Yes</v>
      </c>
      <c r="H529" s="4" t="str">
        <f aca="false">Orders_Raw!F529</f>
        <v>2</v>
      </c>
      <c r="I529" s="4" t="str">
        <f aca="false">IF(H529="","No",IF(H529&lt;=0,"No","Yes"))</f>
        <v>Yes</v>
      </c>
      <c r="J529" s="4" t="str">
        <f aca="false">Orders_Raw!E529</f>
        <v>Mouse</v>
      </c>
      <c r="K529" s="4" t="str">
        <f aca="false">Orders_Raw!H529</f>
        <v>2026-03-31 17:51</v>
      </c>
      <c r="L529" s="4" t="str">
        <f aca="false">IF(COUNTIF(Orders_Raw!$A$5:$A$539,A529)&gt;1,"YES","No")</f>
        <v>No</v>
      </c>
      <c r="M529" s="4" t="str">
        <f aca="false">IF(COUNTIFS($B$5:$B$539,B529,$D$5:$D$539,D529,$F$5:$F$539,F529)&gt;1,"YES","No")</f>
        <v>No</v>
      </c>
      <c r="N529" s="4" t="str">
        <f aca="false">IFERROR(INDEX(Customer_Master!$B$5:$B$64,MATCH(B529,Customer_Master!$A$5:$A$64,0)),"UNMATCHED")</f>
        <v>Joy Eze</v>
      </c>
      <c r="O529" s="4" t="str">
        <f aca="false">IFERROR(INDEX(Customer_Master!$C$5:$C$64,MATCH(B529,Customer_Master!$A$5:$A$64,0)),"UNMATCHED")</f>
        <v>New</v>
      </c>
      <c r="P529" s="4" t="str">
        <f aca="false">IFERROR(INDEX(Customer_Master!$D$5:$D$64,MATCH(B529,Customer_Master!$A$5:$A$64,0)),"UNMATCHED")</f>
        <v>Jos</v>
      </c>
      <c r="Q529" s="4" t="str">
        <f aca="false">IF(N529="UNMATCHED","Unmatched","Matched")</f>
        <v>Matched</v>
      </c>
      <c r="R529" s="4" t="str">
        <f aca="false">IF(OR(E529="No",G529="No",I529="No",L529="YES",Q529="Unmatched"),"NEEDS REVIEW","OK")</f>
        <v>NEEDS REVIEW</v>
      </c>
    </row>
    <row r="530" customFormat="false" ht="15" hidden="false" customHeight="false" outlineLevel="0" collapsed="false">
      <c r="A530" s="4" t="str">
        <f aca="false">Orders_Raw!A530</f>
        <v>ORD00007</v>
      </c>
      <c r="B530" s="4" t="str">
        <f aca="false">TRIM(UPPER(Orders_Raw!B530))</f>
        <v>CUST0009</v>
      </c>
      <c r="C530" s="4" t="str">
        <f aca="false">PROPER(TRIM(Orders_Raw!C530))</f>
        <v>Ngozi Sani</v>
      </c>
      <c r="D530" s="6" t="n">
        <f aca="false">IFERROR(DATEVALUE(Orders_Raw!D530),"")</f>
        <v>46140</v>
      </c>
      <c r="E530" s="4" t="str">
        <f aca="false">IF(D530="","No","Yes")</f>
        <v>Yes</v>
      </c>
      <c r="F530" s="4" t="n">
        <f aca="false">IFERROR(VALUE(SUBSTITUTE(SUBSTITUTE(SUBSTITUTE(Orders_Raw!G530,"$",""),"NGN",""),",","")),"")</f>
        <v>2323.61</v>
      </c>
      <c r="G530" s="4" t="str">
        <f aca="false">IF(F530="","No","Yes")</f>
        <v>Yes</v>
      </c>
      <c r="H530" s="4" t="str">
        <f aca="false">Orders_Raw!F530</f>
        <v>1</v>
      </c>
      <c r="I530" s="4" t="str">
        <f aca="false">IF(H530="","No",IF(H530&lt;=0,"No","Yes"))</f>
        <v>Yes</v>
      </c>
      <c r="J530" s="4" t="str">
        <f aca="false">Orders_Raw!E530</f>
        <v>Phone</v>
      </c>
      <c r="K530" s="4" t="str">
        <f aca="false">Orders_Raw!H530</f>
        <v>2026-04-28 09:34</v>
      </c>
      <c r="L530" s="4" t="str">
        <f aca="false">IF(COUNTIF(Orders_Raw!$A$5:$A$539,A530)&gt;1,"YES","No")</f>
        <v>No</v>
      </c>
      <c r="M530" s="4" t="str">
        <f aca="false">IF(COUNTIFS($B$5:$B$539,B530,$D$5:$D$539,D530,$F$5:$F$539,F530)&gt;1,"YES","No")</f>
        <v>No</v>
      </c>
      <c r="N530" s="4" t="str">
        <f aca="false">IFERROR(INDEX(Customer_Master!$B$5:$B$64,MATCH(B530,Customer_Master!$A$5:$A$64,0)),"UNMATCHED")</f>
        <v>Ngozi Sani</v>
      </c>
      <c r="O530" s="4" t="str">
        <f aca="false">IFERROR(INDEX(Customer_Master!$C$5:$C$64,MATCH(B530,Customer_Master!$A$5:$A$64,0)),"UNMATCHED")</f>
        <v>Loyal</v>
      </c>
      <c r="P530" s="4" t="str">
        <f aca="false">IFERROR(INDEX(Customer_Master!$D$5:$D$64,MATCH(B530,Customer_Master!$A$5:$A$64,0)),"UNMATCHED")</f>
        <v>Kano</v>
      </c>
      <c r="Q530" s="4" t="str">
        <f aca="false">IF(N530="UNMATCHED","Unmatched","Matched")</f>
        <v>Matched</v>
      </c>
      <c r="R530" s="4" t="str">
        <f aca="false">IF(OR(E530="No",G530="No",I530="No",L530="YES",Q530="Unmatched"),"NEEDS REVIEW","OK")</f>
        <v>OK</v>
      </c>
    </row>
    <row r="531" customFormat="false" ht="15" hidden="false" customHeight="false" outlineLevel="0" collapsed="false">
      <c r="A531" s="4" t="str">
        <f aca="false">Orders_Raw!A531</f>
        <v>ORD00083</v>
      </c>
      <c r="B531" s="4" t="str">
        <f aca="false">TRIM(UPPER(Orders_Raw!B531))</f>
        <v>CUST0052</v>
      </c>
      <c r="C531" s="4" t="str">
        <f aca="false">PROPER(TRIM(Orders_Raw!C531))</f>
        <v>Mary Adeyemi</v>
      </c>
      <c r="D531" s="6" t="n">
        <f aca="false">IFERROR(DATEVALUE(Orders_Raw!D531),"")</f>
        <v>46083</v>
      </c>
      <c r="E531" s="4" t="str">
        <f aca="false">IF(D531="","No","Yes")</f>
        <v>Yes</v>
      </c>
      <c r="F531" s="4" t="n">
        <f aca="false">IFERROR(VALUE(SUBSTITUTE(SUBSTITUTE(SUBSTITUTE(Orders_Raw!G531,"$",""),"NGN",""),",","")),"")</f>
        <v>905.23</v>
      </c>
      <c r="G531" s="4" t="str">
        <f aca="false">IF(F531="","No","Yes")</f>
        <v>Yes</v>
      </c>
      <c r="H531" s="4" t="str">
        <f aca="false">Orders_Raw!F531</f>
        <v>3</v>
      </c>
      <c r="I531" s="4" t="str">
        <f aca="false">IF(H531="","No",IF(H531&lt;=0,"No","Yes"))</f>
        <v>Yes</v>
      </c>
      <c r="J531" s="4" t="str">
        <f aca="false">Orders_Raw!E531</f>
        <v>Laptop</v>
      </c>
      <c r="K531" s="4" t="str">
        <f aca="false">Orders_Raw!H531</f>
        <v>2026-02-03 10:47</v>
      </c>
      <c r="L531" s="4" t="str">
        <f aca="false">IF(COUNTIF(Orders_Raw!$A$5:$A$539,A531)&gt;1,"YES","No")</f>
        <v>No</v>
      </c>
      <c r="M531" s="4" t="str">
        <f aca="false">IF(COUNTIFS($B$5:$B$539,B531,$D$5:$D$539,D531,$F$5:$F$539,F531)&gt;1,"YES","No")</f>
        <v>No</v>
      </c>
      <c r="N531" s="4" t="str">
        <f aca="false">IFERROR(INDEX(Customer_Master!$B$5:$B$64,MATCH(B531,Customer_Master!$A$5:$A$64,0)),"UNMATCHED")</f>
        <v>Mary Adeyemi</v>
      </c>
      <c r="O531" s="4" t="str">
        <f aca="false">IFERROR(INDEX(Customer_Master!$C$5:$C$64,MATCH(B531,Customer_Master!$A$5:$A$64,0)),"UNMATCHED")</f>
        <v>Loyal</v>
      </c>
      <c r="P531" s="4" t="str">
        <f aca="false">IFERROR(INDEX(Customer_Master!$D$5:$D$64,MATCH(B531,Customer_Master!$A$5:$A$64,0)),"UNMATCHED")</f>
        <v>Abuja</v>
      </c>
      <c r="Q531" s="4" t="str">
        <f aca="false">IF(N531="UNMATCHED","Unmatched","Matched")</f>
        <v>Matched</v>
      </c>
      <c r="R531" s="4" t="str">
        <f aca="false">IF(OR(E531="No",G531="No",I531="No",L531="YES",Q531="Unmatched"),"NEEDS REVIEW","OK")</f>
        <v>OK</v>
      </c>
    </row>
    <row r="532" customFormat="false" ht="15" hidden="false" customHeight="false" outlineLevel="0" collapsed="false">
      <c r="A532" s="4" t="str">
        <f aca="false">Orders_Raw!A532</f>
        <v>ORD00499</v>
      </c>
      <c r="B532" s="4" t="str">
        <f aca="false">TRIM(UPPER(Orders_Raw!B532))</f>
        <v>CUSTO032</v>
      </c>
      <c r="C532" s="4" t="str">
        <f aca="false">PROPER(TRIM(Orders_Raw!C532))</f>
        <v>Ola Obi</v>
      </c>
      <c r="D532" s="6" t="n">
        <f aca="false">IFERROR(DATEVALUE(Orders_Raw!D532),"")</f>
        <v>46087</v>
      </c>
      <c r="E532" s="4" t="str">
        <f aca="false">IF(D532="","No","Yes")</f>
        <v>Yes</v>
      </c>
      <c r="F532" s="4" t="n">
        <f aca="false">IFERROR(VALUE(SUBSTITUTE(SUBSTITUTE(SUBSTITUTE(Orders_Raw!G532,"$",""),"NGN",""),",","")),"")</f>
        <v>1545.26</v>
      </c>
      <c r="G532" s="4" t="str">
        <f aca="false">IF(F532="","No","Yes")</f>
        <v>Yes</v>
      </c>
      <c r="H532" s="4" t="str">
        <f aca="false">Orders_Raw!F532</f>
        <v>5</v>
      </c>
      <c r="I532" s="4" t="str">
        <f aca="false">IF(H532="","No",IF(H532&lt;=0,"No","Yes"))</f>
        <v>Yes</v>
      </c>
      <c r="J532" s="4" t="str">
        <f aca="false">Orders_Raw!E532</f>
        <v>Speaker</v>
      </c>
      <c r="K532" s="4" t="str">
        <f aca="false">Orders_Raw!H532</f>
        <v>2026-03-06 10:58</v>
      </c>
      <c r="L532" s="4" t="str">
        <f aca="false">IF(COUNTIF(Orders_Raw!$A$5:$A$539,A532)&gt;1,"YES","No")</f>
        <v>No</v>
      </c>
      <c r="M532" s="4" t="str">
        <f aca="false">IF(COUNTIFS($B$5:$B$539,B532,$D$5:$D$539,D532,$F$5:$F$539,F532)&gt;1,"YES","No")</f>
        <v>No</v>
      </c>
      <c r="N532" s="4" t="str">
        <f aca="false">IFERROR(INDEX(Customer_Master!$B$5:$B$64,MATCH(B532,Customer_Master!$A$5:$A$64,0)),"UNMATCHED")</f>
        <v>UNMATCHED</v>
      </c>
      <c r="O532" s="4" t="str">
        <f aca="false">IFERROR(INDEX(Customer_Master!$C$5:$C$64,MATCH(B532,Customer_Master!$A$5:$A$64,0)),"UNMATCHED")</f>
        <v>UNMATCHED</v>
      </c>
      <c r="P532" s="4" t="str">
        <f aca="false">IFERROR(INDEX(Customer_Master!$D$5:$D$64,MATCH(B532,Customer_Master!$A$5:$A$64,0)),"UNMATCHED")</f>
        <v>UNMATCHED</v>
      </c>
      <c r="Q532" s="4" t="str">
        <f aca="false">IF(N532="UNMATCHED","Unmatched","Matched")</f>
        <v>Unmatched</v>
      </c>
      <c r="R532" s="4" t="str">
        <f aca="false">IF(OR(E532="No",G532="No",I532="No",L532="YES",Q532="Unmatched"),"NEEDS REVIEW","OK")</f>
        <v>NEEDS REVIEW</v>
      </c>
    </row>
    <row r="533" customFormat="false" ht="15" hidden="false" customHeight="false" outlineLevel="0" collapsed="false">
      <c r="A533" s="4" t="str">
        <f aca="false">Orders_Raw!A533</f>
        <v>ORD00017</v>
      </c>
      <c r="B533" s="4" t="str">
        <f aca="false">TRIM(UPPER(Orders_Raw!B533))</f>
        <v>CUST0008</v>
      </c>
      <c r="C533" s="4" t="str">
        <f aca="false">PROPER(TRIM(Orders_Raw!C533))</f>
        <v>Victor Duru</v>
      </c>
      <c r="D533" s="6" t="n">
        <f aca="false">IFERROR(DATEVALUE(Orders_Raw!D533),"")</f>
        <v>46068</v>
      </c>
      <c r="E533" s="4" t="str">
        <f aca="false">IF(D533="","No","Yes")</f>
        <v>Yes</v>
      </c>
      <c r="F533" s="4" t="n">
        <f aca="false">IFERROR(VALUE(SUBSTITUTE(SUBSTITUTE(SUBSTITUTE(Orders_Raw!G533,"$",""),"NGN",""),",","")),"")</f>
        <v>2406.9</v>
      </c>
      <c r="G533" s="4" t="str">
        <f aca="false">IF(F533="","No","Yes")</f>
        <v>Yes</v>
      </c>
      <c r="H533" s="4" t="str">
        <f aca="false">Orders_Raw!F533</f>
        <v>1</v>
      </c>
      <c r="I533" s="4" t="str">
        <f aca="false">IF(H533="","No",IF(H533&lt;=0,"No","Yes"))</f>
        <v>Yes</v>
      </c>
      <c r="J533" s="4" t="str">
        <f aca="false">Orders_Raw!E533</f>
        <v>Keyboard</v>
      </c>
      <c r="K533" s="4" t="str">
        <f aca="false">Orders_Raw!H533</f>
        <v>2026-02-15 14:38</v>
      </c>
      <c r="L533" s="4" t="str">
        <f aca="false">IF(COUNTIF(Orders_Raw!$A$5:$A$539,A533)&gt;1,"YES","No")</f>
        <v>No</v>
      </c>
      <c r="M533" s="4" t="str">
        <f aca="false">IF(COUNTIFS($B$5:$B$539,B533,$D$5:$D$539,D533,$F$5:$F$539,F533)&gt;1,"YES","No")</f>
        <v>No</v>
      </c>
      <c r="N533" s="4" t="str">
        <f aca="false">IFERROR(INDEX(Customer_Master!$B$5:$B$64,MATCH(B533,Customer_Master!$A$5:$A$64,0)),"UNMATCHED")</f>
        <v>Victor Duru</v>
      </c>
      <c r="O533" s="4" t="str">
        <f aca="false">IFERROR(INDEX(Customer_Master!$C$5:$C$64,MATCH(B533,Customer_Master!$A$5:$A$64,0)),"UNMATCHED")</f>
        <v>Loyal</v>
      </c>
      <c r="P533" s="4" t="str">
        <f aca="false">IFERROR(INDEX(Customer_Master!$D$5:$D$64,MATCH(B533,Customer_Master!$A$5:$A$64,0)),"UNMATCHED")</f>
        <v>Enugu</v>
      </c>
      <c r="Q533" s="4" t="str">
        <f aca="false">IF(N533="UNMATCHED","Unmatched","Matched")</f>
        <v>Matched</v>
      </c>
      <c r="R533" s="4" t="str">
        <f aca="false">IF(OR(E533="No",G533="No",I533="No",L533="YES",Q533="Unmatched"),"NEEDS REVIEW","OK")</f>
        <v>OK</v>
      </c>
    </row>
    <row r="534" customFormat="false" ht="15" hidden="false" customHeight="false" outlineLevel="0" collapsed="false">
      <c r="A534" s="4" t="str">
        <f aca="false">Orders_Raw!A534</f>
        <v>ORD00162</v>
      </c>
      <c r="B534" s="4" t="str">
        <f aca="false">TRIM(UPPER(Orders_Raw!B534))</f>
        <v>CUST0048</v>
      </c>
      <c r="C534" s="4" t="str">
        <f aca="false">PROPER(TRIM(Orders_Raw!C534))</f>
        <v>Musa Chukwu</v>
      </c>
      <c r="D534" s="6" t="n">
        <f aca="false">IFERROR(DATEVALUE(Orders_Raw!D534),"")</f>
        <v>46168</v>
      </c>
      <c r="E534" s="4" t="str">
        <f aca="false">IF(D534="","No","Yes")</f>
        <v>Yes</v>
      </c>
      <c r="F534" s="4" t="n">
        <f aca="false">IFERROR(VALUE(SUBSTITUTE(SUBSTITUTE(SUBSTITUTE(Orders_Raw!G534,"$",""),"NGN",""),",","")),"")</f>
        <v>451.1</v>
      </c>
      <c r="G534" s="4" t="str">
        <f aca="false">IF(F534="","No","Yes")</f>
        <v>Yes</v>
      </c>
      <c r="H534" s="4" t="str">
        <f aca="false">Orders_Raw!F534</f>
        <v>5</v>
      </c>
      <c r="I534" s="4" t="str">
        <f aca="false">IF(H534="","No",IF(H534&lt;=0,"No","Yes"))</f>
        <v>Yes</v>
      </c>
      <c r="J534" s="4" t="str">
        <f aca="false">Orders_Raw!E534</f>
        <v>Monitor</v>
      </c>
      <c r="K534" s="4" t="str">
        <f aca="false">Orders_Raw!H534</f>
        <v>2026-05-26 18:06</v>
      </c>
      <c r="L534" s="4" t="str">
        <f aca="false">IF(COUNTIF(Orders_Raw!$A$5:$A$539,A534)&gt;1,"YES","No")</f>
        <v>No</v>
      </c>
      <c r="M534" s="4" t="str">
        <f aca="false">IF(COUNTIFS($B$5:$B$539,B534,$D$5:$D$539,D534,$F$5:$F$539,F534)&gt;1,"YES","No")</f>
        <v>No</v>
      </c>
      <c r="N534" s="4" t="str">
        <f aca="false">IFERROR(INDEX(Customer_Master!$B$5:$B$64,MATCH(B534,Customer_Master!$A$5:$A$64,0)),"UNMATCHED")</f>
        <v>Musa Chukwu</v>
      </c>
      <c r="O534" s="4" t="str">
        <f aca="false">IFERROR(INDEX(Customer_Master!$C$5:$C$64,MATCH(B534,Customer_Master!$A$5:$A$64,0)),"UNMATCHED")</f>
        <v>Lost / Low-Value</v>
      </c>
      <c r="P534" s="4" t="str">
        <f aca="false">IFERROR(INDEX(Customer_Master!$D$5:$D$64,MATCH(B534,Customer_Master!$A$5:$A$64,0)),"UNMATCHED")</f>
        <v>Kaduna</v>
      </c>
      <c r="Q534" s="4" t="str">
        <f aca="false">IF(N534="UNMATCHED","Unmatched","Matched")</f>
        <v>Matched</v>
      </c>
      <c r="R534" s="4" t="str">
        <f aca="false">IF(OR(E534="No",G534="No",I534="No",L534="YES",Q534="Unmatched"),"NEEDS REVIEW","OK")</f>
        <v>OK</v>
      </c>
    </row>
    <row r="535" customFormat="false" ht="15" hidden="false" customHeight="false" outlineLevel="0" collapsed="false">
      <c r="A535" s="4" t="str">
        <f aca="false">Orders_Raw!A535</f>
        <v>ORD00386</v>
      </c>
      <c r="B535" s="4" t="str">
        <f aca="false">TRIM(UPPER(Orders_Raw!B535))</f>
        <v>CUST0015</v>
      </c>
      <c r="C535" s="4" t="str">
        <f aca="false">PROPER(TRIM(Orders_Raw!C535))</f>
        <v>Ahmed Nwosu</v>
      </c>
      <c r="D535" s="6" t="n">
        <f aca="false">IFERROR(DATEVALUE(Orders_Raw!D535),"")</f>
        <v>46036</v>
      </c>
      <c r="E535" s="4" t="str">
        <f aca="false">IF(D535="","No","Yes")</f>
        <v>Yes</v>
      </c>
      <c r="F535" s="4" t="n">
        <f aca="false">IFERROR(VALUE(SUBSTITUTE(SUBSTITUTE(SUBSTITUTE(Orders_Raw!G535,"$",""),"NGN",""),",","")),"")</f>
        <v>2001.19</v>
      </c>
      <c r="G535" s="4" t="str">
        <f aca="false">IF(F535="","No","Yes")</f>
        <v>Yes</v>
      </c>
      <c r="H535" s="4" t="str">
        <f aca="false">Orders_Raw!F535</f>
        <v>3</v>
      </c>
      <c r="I535" s="4" t="str">
        <f aca="false">IF(H535="","No",IF(H535&lt;=0,"No","Yes"))</f>
        <v>Yes</v>
      </c>
      <c r="J535" s="4" t="str">
        <f aca="false">Orders_Raw!E535</f>
        <v>Headphones</v>
      </c>
      <c r="K535" s="4" t="str">
        <f aca="false">Orders_Raw!H535</f>
        <v>2026-01-14 15:07</v>
      </c>
      <c r="L535" s="4" t="str">
        <f aca="false">IF(COUNTIF(Orders_Raw!$A$5:$A$539,A535)&gt;1,"YES","No")</f>
        <v>No</v>
      </c>
      <c r="M535" s="4" t="str">
        <f aca="false">IF(COUNTIFS($B$5:$B$539,B535,$D$5:$D$539,D535,$F$5:$F$539,F535)&gt;1,"YES","No")</f>
        <v>No</v>
      </c>
      <c r="N535" s="4" t="str">
        <f aca="false">IFERROR(INDEX(Customer_Master!$B$5:$B$64,MATCH(B535,Customer_Master!$A$5:$A$64,0)),"UNMATCHED")</f>
        <v>Ahmed Nwosu</v>
      </c>
      <c r="O535" s="4" t="str">
        <f aca="false">IFERROR(INDEX(Customer_Master!$C$5:$C$64,MATCH(B535,Customer_Master!$A$5:$A$64,0)),"UNMATCHED")</f>
        <v>Champions</v>
      </c>
      <c r="P535" s="4" t="str">
        <f aca="false">IFERROR(INDEX(Customer_Master!$D$5:$D$64,MATCH(B535,Customer_Master!$A$5:$A$64,0)),"UNMATCHED")</f>
        <v>Lagos</v>
      </c>
      <c r="Q535" s="4" t="str">
        <f aca="false">IF(N535="UNMATCHED","Unmatched","Matched")</f>
        <v>Matched</v>
      </c>
      <c r="R535" s="4" t="str">
        <f aca="false">IF(OR(E535="No",G535="No",I535="No",L535="YES",Q535="Unmatched"),"NEEDS REVIEW","OK")</f>
        <v>OK</v>
      </c>
    </row>
    <row r="536" customFormat="false" ht="15" hidden="false" customHeight="false" outlineLevel="0" collapsed="false">
      <c r="A536" s="4" t="str">
        <f aca="false">Orders_Raw!A536</f>
        <v>ORD00103</v>
      </c>
      <c r="B536" s="4" t="str">
        <f aca="false">TRIM(UPPER(Orders_Raw!B536))</f>
        <v>CUST0005</v>
      </c>
      <c r="C536" s="4" t="str">
        <f aca="false">PROPER(TRIM(Orders_Raw!C536))</f>
        <v>Tunde Nnamdi</v>
      </c>
      <c r="D536" s="6" t="n">
        <f aca="false">IFERROR(DATEVALUE(Orders_Raw!D536),"")</f>
        <v>46093</v>
      </c>
      <c r="E536" s="4" t="str">
        <f aca="false">IF(D536="","No","Yes")</f>
        <v>Yes</v>
      </c>
      <c r="F536" s="4" t="n">
        <f aca="false">IFERROR(VALUE(SUBSTITUTE(SUBSTITUTE(SUBSTITUTE(Orders_Raw!G536,"$",""),"NGN",""),",","")),"")</f>
        <v>154.59</v>
      </c>
      <c r="G536" s="4" t="str">
        <f aca="false">IF(F536="","No","Yes")</f>
        <v>Yes</v>
      </c>
      <c r="H536" s="4" t="str">
        <f aca="false">Orders_Raw!F536</f>
        <v>1</v>
      </c>
      <c r="I536" s="4" t="str">
        <f aca="false">IF(H536="","No",IF(H536&lt;=0,"No","Yes"))</f>
        <v>Yes</v>
      </c>
      <c r="J536" s="4" t="str">
        <f aca="false">Orders_Raw!E536</f>
        <v>Laptop</v>
      </c>
      <c r="K536" s="4" t="str">
        <f aca="false">Orders_Raw!H536</f>
        <v>2026-03-12 13:53</v>
      </c>
      <c r="L536" s="4" t="str">
        <f aca="false">IF(COUNTIF(Orders_Raw!$A$5:$A$539,A536)&gt;1,"YES","No")</f>
        <v>No</v>
      </c>
      <c r="M536" s="4" t="str">
        <f aca="false">IF(COUNTIFS($B$5:$B$539,B536,$D$5:$D$539,D536,$F$5:$F$539,F536)&gt;1,"YES","No")</f>
        <v>No</v>
      </c>
      <c r="N536" s="4" t="str">
        <f aca="false">IFERROR(INDEX(Customer_Master!$B$5:$B$64,MATCH(B536,Customer_Master!$A$5:$A$64,0)),"UNMATCHED")</f>
        <v>Tunde Nnamdi</v>
      </c>
      <c r="O536" s="4" t="str">
        <f aca="false">IFERROR(INDEX(Customer_Master!$C$5:$C$64,MATCH(B536,Customer_Master!$A$5:$A$64,0)),"UNMATCHED")</f>
        <v>New</v>
      </c>
      <c r="P536" s="4" t="str">
        <f aca="false">IFERROR(INDEX(Customer_Master!$D$5:$D$64,MATCH(B536,Customer_Master!$A$5:$A$64,0)),"UNMATCHED")</f>
        <v>Lagos</v>
      </c>
      <c r="Q536" s="4" t="str">
        <f aca="false">IF(N536="UNMATCHED","Unmatched","Matched")</f>
        <v>Matched</v>
      </c>
      <c r="R536" s="4" t="str">
        <f aca="false">IF(OR(E536="No",G536="No",I536="No",L536="YES",Q536="Unmatched"),"NEEDS REVIEW","OK")</f>
        <v>OK</v>
      </c>
    </row>
    <row r="537" customFormat="false" ht="15" hidden="false" customHeight="false" outlineLevel="0" collapsed="false">
      <c r="A537" s="4" t="str">
        <f aca="false">Orders_Raw!A537</f>
        <v>ORD00137</v>
      </c>
      <c r="B537" s="4" t="str">
        <f aca="false">TRIM(UPPER(Orders_Raw!B537))</f>
        <v>CUST0040</v>
      </c>
      <c r="C537" s="4" t="str">
        <f aca="false">PROPER(TRIM(Orders_Raw!C537))</f>
        <v>Yusuf Chukwu</v>
      </c>
      <c r="D537" s="6" t="n">
        <f aca="false">IFERROR(DATEVALUE(Orders_Raw!D537),"")</f>
        <v>46187</v>
      </c>
      <c r="E537" s="4" t="str">
        <f aca="false">IF(D537="","No","Yes")</f>
        <v>Yes</v>
      </c>
      <c r="F537" s="4" t="n">
        <f aca="false">IFERROR(VALUE(SUBSTITUTE(SUBSTITUTE(SUBSTITUTE(Orders_Raw!G537,"$",""),"NGN",""),",","")),"")</f>
        <v>1485.64</v>
      </c>
      <c r="G537" s="4" t="str">
        <f aca="false">IF(F537="","No","Yes")</f>
        <v>Yes</v>
      </c>
      <c r="H537" s="4" t="str">
        <f aca="false">Orders_Raw!F537</f>
        <v>1</v>
      </c>
      <c r="I537" s="4" t="str">
        <f aca="false">IF(H537="","No",IF(H537&lt;=0,"No","Yes"))</f>
        <v>Yes</v>
      </c>
      <c r="J537" s="4" t="str">
        <f aca="false">Orders_Raw!E537</f>
        <v>Speaker</v>
      </c>
      <c r="K537" s="4" t="str">
        <f aca="false">Orders_Raw!H537</f>
        <v>2026-06-14 13:53</v>
      </c>
      <c r="L537" s="4" t="str">
        <f aca="false">IF(COUNTIF(Orders_Raw!$A$5:$A$539,A537)&gt;1,"YES","No")</f>
        <v>No</v>
      </c>
      <c r="M537" s="4" t="str">
        <f aca="false">IF(COUNTIFS($B$5:$B$539,B537,$D$5:$D$539,D537,$F$5:$F$539,F537)&gt;1,"YES","No")</f>
        <v>No</v>
      </c>
      <c r="N537" s="4" t="str">
        <f aca="false">IFERROR(INDEX(Customer_Master!$B$5:$B$64,MATCH(B537,Customer_Master!$A$5:$A$64,0)),"UNMATCHED")</f>
        <v>Yusuf Chukwu</v>
      </c>
      <c r="O537" s="4" t="str">
        <f aca="false">IFERROR(INDEX(Customer_Master!$C$5:$C$64,MATCH(B537,Customer_Master!$A$5:$A$64,0)),"UNMATCHED")</f>
        <v>Loyal</v>
      </c>
      <c r="P537" s="4" t="str">
        <f aca="false">IFERROR(INDEX(Customer_Master!$D$5:$D$64,MATCH(B537,Customer_Master!$A$5:$A$64,0)),"UNMATCHED")</f>
        <v>Lagos</v>
      </c>
      <c r="Q537" s="4" t="str">
        <f aca="false">IF(N537="UNMATCHED","Unmatched","Matched")</f>
        <v>Matched</v>
      </c>
      <c r="R537" s="4" t="str">
        <f aca="false">IF(OR(E537="No",G537="No",I537="No",L537="YES",Q537="Unmatched"),"NEEDS REVIEW","OK")</f>
        <v>OK</v>
      </c>
    </row>
    <row r="538" customFormat="false" ht="15" hidden="false" customHeight="false" outlineLevel="0" collapsed="false">
      <c r="A538" s="4" t="str">
        <f aca="false">Orders_Raw!A538</f>
        <v>ORD00042</v>
      </c>
      <c r="B538" s="4" t="str">
        <f aca="false">TRIM(UPPER(Orders_Raw!B538))</f>
        <v>CUST0003</v>
      </c>
      <c r="C538" s="4" t="str">
        <f aca="false">PROPER(TRIM(Orders_Raw!C538))</f>
        <v>Tunde Ajayi</v>
      </c>
      <c r="D538" s="6" t="n">
        <f aca="false">IFERROR(DATEVALUE(Orders_Raw!D538),"")</f>
        <v>46200</v>
      </c>
      <c r="E538" s="4" t="str">
        <f aca="false">IF(D538="","No","Yes")</f>
        <v>Yes</v>
      </c>
      <c r="F538" s="4" t="n">
        <f aca="false">IFERROR(VALUE(SUBSTITUTE(SUBSTITUTE(SUBSTITUTE(Orders_Raw!G538,"$",""),"NGN",""),",","")),"")</f>
        <v>775.92</v>
      </c>
      <c r="G538" s="4" t="str">
        <f aca="false">IF(F538="","No","Yes")</f>
        <v>Yes</v>
      </c>
      <c r="H538" s="4" t="str">
        <f aca="false">Orders_Raw!F538</f>
        <v>2</v>
      </c>
      <c r="I538" s="4" t="str">
        <f aca="false">IF(H538="","No",IF(H538&lt;=0,"No","Yes"))</f>
        <v>Yes</v>
      </c>
      <c r="J538" s="4" t="str">
        <f aca="false">Orders_Raw!E538</f>
        <v>Monitor</v>
      </c>
      <c r="K538" s="4" t="str">
        <f aca="false">Orders_Raw!H538</f>
        <v>2026-06-27 16:21</v>
      </c>
      <c r="L538" s="4" t="str">
        <f aca="false">IF(COUNTIF(Orders_Raw!$A$5:$A$539,A538)&gt;1,"YES","No")</f>
        <v>No</v>
      </c>
      <c r="M538" s="4" t="str">
        <f aca="false">IF(COUNTIFS($B$5:$B$539,B538,$D$5:$D$539,D538,$F$5:$F$539,F538)&gt;1,"YES","No")</f>
        <v>No</v>
      </c>
      <c r="N538" s="4" t="str">
        <f aca="false">IFERROR(INDEX(Customer_Master!$B$5:$B$64,MATCH(B538,Customer_Master!$A$5:$A$64,0)),"UNMATCHED")</f>
        <v>Chidi Adamu</v>
      </c>
      <c r="O538" s="4" t="str">
        <f aca="false">IFERROR(INDEX(Customer_Master!$C$5:$C$64,MATCH(B538,Customer_Master!$A$5:$A$64,0)),"UNMATCHED")</f>
        <v>Champions</v>
      </c>
      <c r="P538" s="4" t="str">
        <f aca="false">IFERROR(INDEX(Customer_Master!$D$5:$D$64,MATCH(B538,Customer_Master!$A$5:$A$64,0)),"UNMATCHED")</f>
        <v>Enugu</v>
      </c>
      <c r="Q538" s="4" t="str">
        <f aca="false">IF(N538="UNMATCHED","Unmatched","Matched")</f>
        <v>Matched</v>
      </c>
      <c r="R538" s="4" t="str">
        <f aca="false">IF(OR(E538="No",G538="No",I538="No",L538="YES",Q538="Unmatched"),"NEEDS REVIEW","OK")</f>
        <v>OK</v>
      </c>
    </row>
    <row r="539" customFormat="false" ht="15" hidden="false" customHeight="false" outlineLevel="0" collapsed="false">
      <c r="A539" s="4" t="str">
        <f aca="false">Orders_Raw!A539</f>
        <v>ORD00250</v>
      </c>
      <c r="B539" s="4" t="str">
        <f aca="false">TRIM(UPPER(Orders_Raw!B539))</f>
        <v>CUST0003</v>
      </c>
      <c r="C539" s="4" t="str">
        <f aca="false">PROPER(TRIM(Orders_Raw!C539))</f>
        <v>Chidi Adamu</v>
      </c>
      <c r="D539" s="6" t="n">
        <f aca="false">IFERROR(DATEVALUE(Orders_Raw!D539),"")</f>
        <v>46128</v>
      </c>
      <c r="E539" s="4" t="str">
        <f aca="false">IF(D539="","No","Yes")</f>
        <v>Yes</v>
      </c>
      <c r="F539" s="4" t="n">
        <f aca="false">IFERROR(VALUE(SUBSTITUTE(SUBSTITUTE(SUBSTITUTE(Orders_Raw!G539,"$",""),"NGN",""),",","")),"")</f>
        <v>1154.27</v>
      </c>
      <c r="G539" s="4" t="str">
        <f aca="false">IF(F539="","No","Yes")</f>
        <v>Yes</v>
      </c>
      <c r="H539" s="4" t="str">
        <f aca="false">Orders_Raw!F539</f>
        <v>3</v>
      </c>
      <c r="I539" s="4" t="str">
        <f aca="false">IF(H539="","No",IF(H539&lt;=0,"No","Yes"))</f>
        <v>Yes</v>
      </c>
      <c r="J539" s="4" t="str">
        <f aca="false">Orders_Raw!E539</f>
        <v>Monitor</v>
      </c>
      <c r="K539" s="4" t="str">
        <f aca="false">Orders_Raw!H539</f>
        <v>2026-04-16 09:37</v>
      </c>
      <c r="L539" s="4" t="str">
        <f aca="false">IF(COUNTIF(Orders_Raw!$A$5:$A$539,A539)&gt;1,"YES","No")</f>
        <v>No</v>
      </c>
      <c r="M539" s="4" t="str">
        <f aca="false">IF(COUNTIFS($B$5:$B$539,B539,$D$5:$D$539,D539,$F$5:$F$539,F539)&gt;1,"YES","No")</f>
        <v>No</v>
      </c>
      <c r="N539" s="4" t="str">
        <f aca="false">IFERROR(INDEX(Customer_Master!$B$5:$B$64,MATCH(B539,Customer_Master!$A$5:$A$64,0)),"UNMATCHED")</f>
        <v>Chidi Adamu</v>
      </c>
      <c r="O539" s="4" t="str">
        <f aca="false">IFERROR(INDEX(Customer_Master!$C$5:$C$64,MATCH(B539,Customer_Master!$A$5:$A$64,0)),"UNMATCHED")</f>
        <v>Champions</v>
      </c>
      <c r="P539" s="4" t="str">
        <f aca="false">IFERROR(INDEX(Customer_Master!$D$5:$D$64,MATCH(B539,Customer_Master!$A$5:$A$64,0)),"UNMATCHED")</f>
        <v>Enugu</v>
      </c>
      <c r="Q539" s="4" t="str">
        <f aca="false">IF(N539="UNMATCHED","Unmatched","Matched")</f>
        <v>Matched</v>
      </c>
      <c r="R539" s="4" t="str">
        <f aca="false">IF(OR(E539="No",G539="No",I539="No",L539="YES",Q539="Unmatched"),"NEEDS REVIEW","OK")</f>
        <v>OK</v>
      </c>
    </row>
  </sheetData>
  <conditionalFormatting sqref="E5:E539">
    <cfRule type="cellIs" priority="2" operator="equal" aboveAverage="0" equalAverage="0" bottom="0" percent="0" rank="0" text="" dxfId="0">
      <formula>"No"</formula>
    </cfRule>
  </conditionalFormatting>
  <conditionalFormatting sqref="G5:G539">
    <cfRule type="cellIs" priority="3" operator="equal" aboveAverage="0" equalAverage="0" bottom="0" percent="0" rank="0" text="" dxfId="0">
      <formula>"No"</formula>
    </cfRule>
  </conditionalFormatting>
  <conditionalFormatting sqref="I5:I539">
    <cfRule type="cellIs" priority="4" operator="equal" aboveAverage="0" equalAverage="0" bottom="0" percent="0" rank="0" text="" dxfId="0">
      <formula>"No"</formula>
    </cfRule>
  </conditionalFormatting>
  <conditionalFormatting sqref="L5:L539">
    <cfRule type="cellIs" priority="5" operator="equal" aboveAverage="0" equalAverage="0" bottom="0" percent="0" rank="0" text="" dxfId="0">
      <formula>"YES"</formula>
    </cfRule>
  </conditionalFormatting>
  <conditionalFormatting sqref="M5:M539">
    <cfRule type="cellIs" priority="6" operator="equal" aboveAverage="0" equalAverage="0" bottom="0" percent="0" rank="0" text="" dxfId="0">
      <formula>"YES"</formula>
    </cfRule>
  </conditionalFormatting>
  <conditionalFormatting sqref="Q5:Q539">
    <cfRule type="cellIs" priority="7" operator="equal" aboveAverage="0" equalAverage="0" bottom="0" percent="0" rank="0" text="" dxfId="0">
      <formula>"Unmatched"</formula>
    </cfRule>
  </conditionalFormatting>
  <conditionalFormatting sqref="R5:R539">
    <cfRule type="cellIs" priority="8" operator="equal" aboveAverage="0" equalAverage="0" bottom="0" percent="0" rank="0" text="" dxfId="0">
      <formula>"NEEDS REVIEW"</formula>
    </cfRule>
    <cfRule type="cellIs" priority="9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2277</v>
      </c>
    </row>
    <row r="2" customFormat="false" ht="15" hidden="false" customHeight="false" outlineLevel="0" collapsed="false">
      <c r="A2" s="2" t="s">
        <v>2278</v>
      </c>
    </row>
    <row r="4" customFormat="false" ht="15" hidden="false" customHeight="true" outlineLevel="0" collapsed="false">
      <c r="A4" s="7" t="s">
        <v>2279</v>
      </c>
      <c r="B4" s="7"/>
      <c r="C4" s="7" t="s">
        <v>2280</v>
      </c>
      <c r="D4" s="7"/>
      <c r="E4" s="7" t="s">
        <v>2281</v>
      </c>
      <c r="F4" s="7"/>
      <c r="G4" s="7" t="s">
        <v>2282</v>
      </c>
      <c r="H4" s="7"/>
    </row>
    <row r="5" customFormat="false" ht="17.35" hidden="false" customHeight="false" outlineLevel="0" collapsed="false">
      <c r="A5" s="8" t="n">
        <f aca="false">COUNTA(Cleaned_Orders!A5:A539)</f>
        <v>535</v>
      </c>
      <c r="B5" s="8"/>
      <c r="C5" s="8" t="n">
        <f aca="false">COUNTIF(Cleaned_Orders!R5:R539,"NEEDS REVIEW")</f>
        <v>162</v>
      </c>
      <c r="D5" s="8"/>
      <c r="E5" s="8" t="n">
        <f aca="false">COUNTIF(Cleaned_Orders!R5:R539,"OK")</f>
        <v>373</v>
      </c>
      <c r="F5" s="8"/>
      <c r="G5" s="8" t="n">
        <f aca="false">ROUND(COUNTIF(Cleaned_Orders!R5:R539,"NEEDS REVIEW")/COUNTA(Cleaned_Orders!A5:A539)*100,1)</f>
        <v>30.3</v>
      </c>
      <c r="H5" s="8"/>
    </row>
    <row r="7" customFormat="false" ht="15" hidden="false" customHeight="true" outlineLevel="0" collapsed="false">
      <c r="A7" s="7" t="s">
        <v>2283</v>
      </c>
      <c r="B7" s="7"/>
      <c r="C7" s="7" t="s">
        <v>2284</v>
      </c>
      <c r="D7" s="7"/>
      <c r="E7" s="7" t="s">
        <v>2285</v>
      </c>
      <c r="F7" s="7"/>
      <c r="G7" s="7" t="s">
        <v>2286</v>
      </c>
      <c r="H7" s="7"/>
    </row>
    <row r="8" customFormat="false" ht="17.35" hidden="false" customHeight="false" outlineLevel="0" collapsed="false">
      <c r="A8" s="8" t="n">
        <f aca="false">COUNTIF(Cleaned_Orders!L5:L539,"YES")</f>
        <v>30</v>
      </c>
      <c r="B8" s="8"/>
      <c r="C8" s="8" t="n">
        <f aca="false">COUNTIF(Cleaned_Orders!Q5:Q539,"Unmatched")</f>
        <v>20</v>
      </c>
      <c r="D8" s="8"/>
      <c r="E8" s="8" t="n">
        <f aca="false">COUNTIF(Cleaned_Orders!E5:E539,"No")</f>
        <v>123</v>
      </c>
      <c r="F8" s="8"/>
      <c r="G8" s="8" t="n">
        <f aca="false">COUNTIF(Cleaned_Orders!G5:G539,"No")</f>
        <v>0</v>
      </c>
      <c r="H8" s="8"/>
    </row>
    <row r="12" customFormat="false" ht="15" hidden="false" customHeight="false" outlineLevel="0" collapsed="false">
      <c r="A12" s="9" t="s">
        <v>2287</v>
      </c>
    </row>
    <row r="13" customFormat="false" ht="15" hidden="false" customHeight="false" outlineLevel="0" collapsed="false">
      <c r="A13" s="10" t="s">
        <v>5</v>
      </c>
      <c r="B13" s="10" t="s">
        <v>2288</v>
      </c>
      <c r="C13" s="10" t="s">
        <v>2289</v>
      </c>
    </row>
    <row r="14" customFormat="false" ht="15" hidden="false" customHeight="false" outlineLevel="0" collapsed="false">
      <c r="A14" s="4" t="s">
        <v>13</v>
      </c>
      <c r="B14" s="4" t="n">
        <f aca="false">ROUND(SUMIFS(Cleaned_Orders!$F$5:$F$539,Cleaned_Orders!$P$5:$P$539,A14,Cleaned_Orders!$R$5:$R$539,"OK"),2)</f>
        <v>85151.66</v>
      </c>
      <c r="C14" s="4" t="n">
        <f aca="false">COUNTIFS(Cleaned_Orders!$P$5:$P$539,A14,Cleaned_Orders!$R$5:$R$539,"OK")</f>
        <v>69</v>
      </c>
    </row>
    <row r="15" customFormat="false" ht="15" hidden="false" customHeight="false" outlineLevel="0" collapsed="false">
      <c r="A15" s="4" t="s">
        <v>16</v>
      </c>
      <c r="B15" s="4" t="n">
        <f aca="false">ROUND(SUMIFS(Cleaned_Orders!$F$5:$F$539,Cleaned_Orders!$P$5:$P$539,A15,Cleaned_Orders!$R$5:$R$539,"OK"),2)</f>
        <v>69619.22</v>
      </c>
      <c r="C15" s="4" t="n">
        <f aca="false">COUNTIFS(Cleaned_Orders!$P$5:$P$539,A15,Cleaned_Orders!$R$5:$R$539,"OK")</f>
        <v>51</v>
      </c>
    </row>
    <row r="16" customFormat="false" ht="15" hidden="false" customHeight="false" outlineLevel="0" collapsed="false">
      <c r="A16" s="4" t="s">
        <v>9</v>
      </c>
      <c r="B16" s="4" t="n">
        <f aca="false">ROUND(SUMIFS(Cleaned_Orders!$F$5:$F$539,Cleaned_Orders!$P$5:$P$539,A16,Cleaned_Orders!$R$5:$R$539,"OK"),2)</f>
        <v>45806.48</v>
      </c>
      <c r="C16" s="4" t="n">
        <f aca="false">COUNTIFS(Cleaned_Orders!$P$5:$P$539,A16,Cleaned_Orders!$R$5:$R$539,"OK")</f>
        <v>35</v>
      </c>
    </row>
    <row r="17" customFormat="false" ht="15" hidden="false" customHeight="false" outlineLevel="0" collapsed="false">
      <c r="A17" s="4" t="s">
        <v>37</v>
      </c>
      <c r="B17" s="4" t="n">
        <f aca="false">ROUND(SUMIFS(Cleaned_Orders!$F$5:$F$539,Cleaned_Orders!$P$5:$P$539,A17,Cleaned_Orders!$R$5:$R$539,"OK"),2)</f>
        <v>21926.05</v>
      </c>
      <c r="C17" s="4" t="n">
        <f aca="false">COUNTIFS(Cleaned_Orders!$P$5:$P$539,A17,Cleaned_Orders!$R$5:$R$539,"OK")</f>
        <v>15</v>
      </c>
    </row>
    <row r="18" customFormat="false" ht="15" hidden="false" customHeight="false" outlineLevel="0" collapsed="false">
      <c r="A18" s="4" t="s">
        <v>40</v>
      </c>
      <c r="B18" s="4" t="n">
        <f aca="false">ROUND(SUMIFS(Cleaned_Orders!$F$5:$F$539,Cleaned_Orders!$P$5:$P$539,A18,Cleaned_Orders!$R$5:$R$539,"OK"),2)</f>
        <v>69928.7</v>
      </c>
      <c r="C18" s="4" t="n">
        <f aca="false">COUNTIFS(Cleaned_Orders!$P$5:$P$539,A18,Cleaned_Orders!$R$5:$R$539,"OK")</f>
        <v>55</v>
      </c>
    </row>
    <row r="19" customFormat="false" ht="15" hidden="false" customHeight="false" outlineLevel="0" collapsed="false">
      <c r="A19" s="4" t="s">
        <v>19</v>
      </c>
      <c r="B19" s="4" t="n">
        <f aca="false">ROUND(SUMIFS(Cleaned_Orders!$F$5:$F$539,Cleaned_Orders!$P$5:$P$539,A19,Cleaned_Orders!$R$5:$R$539,"OK"),2)</f>
        <v>83404.1</v>
      </c>
      <c r="C19" s="4" t="n">
        <f aca="false">COUNTIFS(Cleaned_Orders!$P$5:$P$539,A19,Cleaned_Orders!$R$5:$R$539,"OK")</f>
        <v>67</v>
      </c>
    </row>
    <row r="20" customFormat="false" ht="15" hidden="false" customHeight="false" outlineLevel="0" collapsed="false">
      <c r="A20" s="4" t="s">
        <v>23</v>
      </c>
      <c r="B20" s="4" t="n">
        <f aca="false">ROUND(SUMIFS(Cleaned_Orders!$F$5:$F$539,Cleaned_Orders!$P$5:$P$539,A20,Cleaned_Orders!$R$5:$R$539,"OK"),2)</f>
        <v>61557.32</v>
      </c>
      <c r="C20" s="4" t="n">
        <f aca="false">COUNTIFS(Cleaned_Orders!$P$5:$P$539,A20,Cleaned_Orders!$R$5:$R$539,"OK")</f>
        <v>50</v>
      </c>
    </row>
    <row r="21" customFormat="false" ht="15" hidden="false" customHeight="false" outlineLevel="0" collapsed="false">
      <c r="A21" s="4" t="s">
        <v>54</v>
      </c>
      <c r="B21" s="4" t="n">
        <f aca="false">ROUND(SUMIFS(Cleaned_Orders!$F$5:$F$539,Cleaned_Orders!$P$5:$P$539,A21,Cleaned_Orders!$R$5:$R$539,"OK"),2)</f>
        <v>43359.1</v>
      </c>
      <c r="C21" s="4" t="n">
        <f aca="false">COUNTIFS(Cleaned_Orders!$P$5:$P$539,A21,Cleaned_Orders!$R$5:$R$539,"OK")</f>
        <v>31</v>
      </c>
    </row>
  </sheetData>
  <mergeCells count="16"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2290</v>
      </c>
    </row>
    <row r="2" customFormat="false" ht="15" hidden="false" customHeight="false" outlineLevel="0" collapsed="false">
      <c r="A2" s="2" t="s">
        <v>2291</v>
      </c>
    </row>
    <row r="4" customFormat="false" ht="15" hidden="false" customHeight="false" outlineLevel="0" collapsed="false">
      <c r="A4" s="10" t="s">
        <v>2292</v>
      </c>
      <c r="B4" s="10" t="s">
        <v>2293</v>
      </c>
    </row>
    <row r="5" customFormat="false" ht="15" hidden="false" customHeight="false" outlineLevel="0" collapsed="false">
      <c r="A5" s="4" t="s">
        <v>2294</v>
      </c>
      <c r="B5" s="4" t="n">
        <f aca="false">COUNTIF(Cleaned_Orders!$K$5:$K$539,"2026-01*")</f>
        <v>83</v>
      </c>
    </row>
    <row r="6" customFormat="false" ht="15" hidden="false" customHeight="false" outlineLevel="0" collapsed="false">
      <c r="A6" s="4" t="s">
        <v>2295</v>
      </c>
      <c r="B6" s="4" t="n">
        <f aca="false">COUNTIF(Cleaned_Orders!$K$5:$K$539,"2026-02*")</f>
        <v>55</v>
      </c>
    </row>
    <row r="7" customFormat="false" ht="15" hidden="false" customHeight="false" outlineLevel="0" collapsed="false">
      <c r="A7" s="4" t="s">
        <v>2296</v>
      </c>
      <c r="B7" s="4" t="n">
        <f aca="false">COUNTIF(Cleaned_Orders!$K$5:$K$539,"2026-03*")</f>
        <v>90</v>
      </c>
    </row>
    <row r="8" customFormat="false" ht="15" hidden="false" customHeight="false" outlineLevel="0" collapsed="false">
      <c r="A8" s="4" t="s">
        <v>2297</v>
      </c>
      <c r="B8" s="4" t="n">
        <f aca="false">COUNTIF(Cleaned_Orders!$K$5:$K$539,"2026-04*")</f>
        <v>71</v>
      </c>
    </row>
    <row r="9" customFormat="false" ht="15" hidden="false" customHeight="false" outlineLevel="0" collapsed="false">
      <c r="A9" s="4" t="s">
        <v>2298</v>
      </c>
      <c r="B9" s="4" t="n">
        <f aca="false">COUNTIF(Cleaned_Orders!$K$5:$K$539,"2026-05*")</f>
        <v>92</v>
      </c>
    </row>
    <row r="10" customFormat="false" ht="15" hidden="false" customHeight="false" outlineLevel="0" collapsed="false">
      <c r="A10" s="4" t="s">
        <v>2299</v>
      </c>
      <c r="B10" s="4" t="n">
        <f aca="false">COUNTIF(Cleaned_Orders!$K$5:$K$539,"2026-06*")</f>
        <v>83</v>
      </c>
    </row>
    <row r="11" customFormat="false" ht="15" hidden="false" customHeight="false" outlineLevel="0" collapsed="false">
      <c r="A11" s="4" t="s">
        <v>2300</v>
      </c>
      <c r="B11" s="4" t="n">
        <f aca="false">COUNTIF(Cleaned_Orders!$K$5:$K$539,"2026-07*")</f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2301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2302</v>
      </c>
    </row>
    <row r="4" customFormat="false" ht="15" hidden="false" customHeight="false" outlineLevel="0" collapsed="false">
      <c r="A4" s="11" t="s">
        <v>2303</v>
      </c>
    </row>
    <row r="5" customFormat="false" ht="15" hidden="false" customHeight="false" outlineLevel="0" collapsed="false">
      <c r="A5" s="11" t="s">
        <v>2304</v>
      </c>
    </row>
    <row r="6" customFormat="false" ht="15" hidden="false" customHeight="false" outlineLevel="0" collapsed="false">
      <c r="A6" s="11" t="s">
        <v>2305</v>
      </c>
    </row>
    <row r="7" customFormat="false" ht="15" hidden="false" customHeight="false" outlineLevel="0" collapsed="false">
      <c r="A7" s="11" t="s">
        <v>2306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 t="s">
        <v>2307</v>
      </c>
    </row>
    <row r="10" customFormat="false" ht="15" hidden="false" customHeight="false" outlineLevel="0" collapsed="false">
      <c r="A10" s="11" t="s">
        <v>2308</v>
      </c>
    </row>
    <row r="11" customFormat="false" ht="15" hidden="false" customHeight="false" outlineLevel="0" collapsed="false">
      <c r="A11" s="11" t="s">
        <v>2309</v>
      </c>
    </row>
    <row r="12" customFormat="false" ht="15" hidden="false" customHeight="false" outlineLevel="0" collapsed="false">
      <c r="A12" s="11" t="s">
        <v>2310</v>
      </c>
    </row>
    <row r="13" customFormat="false" ht="15" hidden="false" customHeight="false" outlineLevel="0" collapsed="false">
      <c r="A13" s="11" t="s">
        <v>2311</v>
      </c>
    </row>
    <row r="14" customFormat="false" ht="15" hidden="false" customHeight="false" outlineLevel="0" collapsed="false">
      <c r="A14" s="11" t="s">
        <v>2312</v>
      </c>
    </row>
    <row r="15" customFormat="false" ht="15" hidden="false" customHeight="false" outlineLevel="0" collapsed="false">
      <c r="A15" s="11" t="s">
        <v>2313</v>
      </c>
    </row>
    <row r="16" customFormat="false" ht="15" hidden="false" customHeight="false" outlineLevel="0" collapsed="false">
      <c r="A16" s="11" t="s">
        <v>2314</v>
      </c>
    </row>
    <row r="17" customFormat="false" ht="15" hidden="false" customHeight="false" outlineLevel="0" collapsed="false">
      <c r="A17" s="11" t="s">
        <v>2315</v>
      </c>
    </row>
    <row r="18" customFormat="false" ht="15" hidden="false" customHeight="false" outlineLevel="0" collapsed="false">
      <c r="A18" s="11" t="s">
        <v>2316</v>
      </c>
    </row>
    <row r="19" customFormat="false" ht="15" hidden="false" customHeight="false" outlineLevel="0" collapsed="false">
      <c r="A19" s="11" t="s">
        <v>2317</v>
      </c>
    </row>
    <row r="20" customFormat="false" ht="15" hidden="false" customHeight="false" outlineLevel="0" collapsed="false">
      <c r="A20" s="11" t="s">
        <v>2318</v>
      </c>
    </row>
    <row r="21" customFormat="false" ht="15" hidden="false" customHeight="false" outlineLevel="0" collapsed="false">
      <c r="A21" s="11" t="s">
        <v>2319</v>
      </c>
    </row>
    <row r="22" customFormat="false" ht="15" hidden="false" customHeight="false" outlineLevel="0" collapsed="false">
      <c r="A22" s="11" t="s">
        <v>2320</v>
      </c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1" t="s">
        <v>2321</v>
      </c>
    </row>
    <row r="25" customFormat="false" ht="15" hidden="false" customHeight="false" outlineLevel="0" collapsed="false">
      <c r="A25" s="11" t="s">
        <v>2322</v>
      </c>
    </row>
    <row r="26" customFormat="false" ht="15" hidden="false" customHeight="false" outlineLevel="0" collapsed="false">
      <c r="A26" s="11" t="s">
        <v>2323</v>
      </c>
    </row>
    <row r="27" customFormat="false" ht="15" hidden="false" customHeight="false" outlineLevel="0" collapsed="false">
      <c r="A27" s="11"/>
    </row>
    <row r="28" customFormat="false" ht="15" hidden="false" customHeight="false" outlineLevel="0" collapsed="false">
      <c r="A28" s="11" t="s">
        <v>2324</v>
      </c>
    </row>
    <row r="29" customFormat="false" ht="15" hidden="false" customHeight="false" outlineLevel="0" collapsed="false">
      <c r="A29" s="11" t="s">
        <v>2325</v>
      </c>
    </row>
    <row r="30" customFormat="false" ht="15" hidden="false" customHeight="false" outlineLevel="0" collapsed="false">
      <c r="A30" s="11" t="s">
        <v>2326</v>
      </c>
    </row>
    <row r="31" customFormat="false" ht="15" hidden="false" customHeight="false" outlineLevel="0" collapsed="false">
      <c r="A31" s="11" t="s">
        <v>2327</v>
      </c>
    </row>
    <row r="32" customFormat="false" ht="15" hidden="false" customHeight="false" outlineLevel="0" collapsed="false">
      <c r="A32" s="11" t="s">
        <v>2328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2026-07-16T23:53:55Z</dcterms:created>
  <dc:creator>openpyxl</dc:creator>
  <dc:description/>
  <dc:language>en-US</dc:language>
  <cp:lastModifiedBy/>
  <dcterms:modified xsi:type="dcterms:W3CDTF">2026-07-16T23:54:02Z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